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firstSheet="1" activeTab="6"/>
  </bookViews>
  <sheets>
    <sheet name="Original_Data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_Residuals" sheetId="6" r:id="rId6"/>
    <sheet name="Model_Comparison" sheetId="7" r:id="rId7"/>
  </sheets>
  <definedNames>
    <definedName name="_xlnm._FilterDatabase" localSheetId="1" hidden="1">Cleaned_Data!$A$1:$P$321</definedName>
  </definedNames>
  <calcPr calcId="144525"/>
</workbook>
</file>

<file path=xl/calcChain.xml><?xml version="1.0" encoding="utf-8"?>
<calcChain xmlns="http://schemas.openxmlformats.org/spreadsheetml/2006/main">
  <c r="I2" i="6" l="1"/>
  <c r="J2" i="6" s="1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J75" i="6" s="1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I111" i="6"/>
  <c r="J111" i="6" s="1"/>
  <c r="I112" i="6"/>
  <c r="J112" i="6" s="1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J121" i="6" s="1"/>
  <c r="I122" i="6"/>
  <c r="J122" i="6" s="1"/>
  <c r="I123" i="6"/>
  <c r="J123" i="6" s="1"/>
  <c r="I124" i="6"/>
  <c r="J124" i="6" s="1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J131" i="6" s="1"/>
  <c r="I132" i="6"/>
  <c r="J132" i="6" s="1"/>
  <c r="I133" i="6"/>
  <c r="J133" i="6" s="1"/>
  <c r="I134" i="6"/>
  <c r="J134" i="6" s="1"/>
  <c r="I135" i="6"/>
  <c r="J135" i="6" s="1"/>
  <c r="I136" i="6"/>
  <c r="J136" i="6" s="1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J143" i="6" s="1"/>
  <c r="I144" i="6"/>
  <c r="J144" i="6" s="1"/>
  <c r="I145" i="6"/>
  <c r="J145" i="6" s="1"/>
  <c r="I146" i="6"/>
  <c r="J146" i="6" s="1"/>
  <c r="I147" i="6"/>
  <c r="J147" i="6" s="1"/>
  <c r="I148" i="6"/>
  <c r="J148" i="6" s="1"/>
  <c r="I149" i="6"/>
  <c r="J149" i="6" s="1"/>
  <c r="I150" i="6"/>
  <c r="J150" i="6" s="1"/>
  <c r="I151" i="6"/>
  <c r="J151" i="6" s="1"/>
  <c r="I152" i="6"/>
  <c r="J152" i="6" s="1"/>
  <c r="I153" i="6"/>
  <c r="J153" i="6" s="1"/>
  <c r="I154" i="6"/>
  <c r="J154" i="6" s="1"/>
  <c r="I155" i="6"/>
  <c r="J155" i="6" s="1"/>
  <c r="I156" i="6"/>
  <c r="J156" i="6" s="1"/>
  <c r="I157" i="6"/>
  <c r="J157" i="6" s="1"/>
  <c r="I158" i="6"/>
  <c r="J158" i="6" s="1"/>
  <c r="I159" i="6"/>
  <c r="J159" i="6" s="1"/>
  <c r="I160" i="6"/>
  <c r="J160" i="6" s="1"/>
  <c r="I161" i="6"/>
  <c r="J161" i="6" s="1"/>
  <c r="I162" i="6"/>
  <c r="J162" i="6" s="1"/>
  <c r="I163" i="6"/>
  <c r="J163" i="6" s="1"/>
  <c r="I164" i="6"/>
  <c r="J164" i="6" s="1"/>
  <c r="I165" i="6"/>
  <c r="J165" i="6" s="1"/>
  <c r="I166" i="6"/>
  <c r="J166" i="6" s="1"/>
  <c r="I167" i="6"/>
  <c r="J167" i="6" s="1"/>
  <c r="I168" i="6"/>
  <c r="J168" i="6" s="1"/>
  <c r="I169" i="6"/>
  <c r="J169" i="6" s="1"/>
  <c r="I170" i="6"/>
  <c r="J170" i="6" s="1"/>
  <c r="I171" i="6"/>
  <c r="J171" i="6" s="1"/>
  <c r="I172" i="6"/>
  <c r="J172" i="6" s="1"/>
  <c r="I173" i="6"/>
  <c r="J173" i="6" s="1"/>
  <c r="I174" i="6"/>
  <c r="J174" i="6" s="1"/>
  <c r="I175" i="6"/>
  <c r="J175" i="6" s="1"/>
  <c r="I176" i="6"/>
  <c r="J176" i="6" s="1"/>
  <c r="I177" i="6"/>
  <c r="J177" i="6" s="1"/>
  <c r="I178" i="6"/>
  <c r="J178" i="6" s="1"/>
  <c r="I179" i="6"/>
  <c r="J179" i="6" s="1"/>
  <c r="I180" i="6"/>
  <c r="J180" i="6" s="1"/>
  <c r="I181" i="6"/>
  <c r="J181" i="6" s="1"/>
  <c r="I182" i="6"/>
  <c r="J182" i="6" s="1"/>
  <c r="I183" i="6"/>
  <c r="J183" i="6" s="1"/>
  <c r="I184" i="6"/>
  <c r="J184" i="6" s="1"/>
  <c r="I185" i="6"/>
  <c r="J185" i="6" s="1"/>
  <c r="I186" i="6"/>
  <c r="J186" i="6" s="1"/>
  <c r="I187" i="6"/>
  <c r="J187" i="6" s="1"/>
  <c r="I188" i="6"/>
  <c r="J188" i="6" s="1"/>
  <c r="I189" i="6"/>
  <c r="J189" i="6" s="1"/>
  <c r="I190" i="6"/>
  <c r="J190" i="6" s="1"/>
  <c r="I191" i="6"/>
  <c r="J191" i="6" s="1"/>
  <c r="I192" i="6"/>
  <c r="J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J198" i="6" s="1"/>
  <c r="I199" i="6"/>
  <c r="J199" i="6" s="1"/>
  <c r="I200" i="6"/>
  <c r="J200" i="6" s="1"/>
  <c r="I201" i="6"/>
  <c r="J201" i="6" s="1"/>
  <c r="I202" i="6"/>
  <c r="J202" i="6" s="1"/>
  <c r="I203" i="6"/>
  <c r="J203" i="6" s="1"/>
  <c r="I204" i="6"/>
  <c r="J204" i="6" s="1"/>
  <c r="I205" i="6"/>
  <c r="J205" i="6" s="1"/>
  <c r="I206" i="6"/>
  <c r="J206" i="6" s="1"/>
  <c r="I207" i="6"/>
  <c r="J207" i="6" s="1"/>
  <c r="I208" i="6"/>
  <c r="J208" i="6" s="1"/>
  <c r="I209" i="6"/>
  <c r="J209" i="6" s="1"/>
  <c r="I210" i="6"/>
  <c r="J210" i="6" s="1"/>
  <c r="I211" i="6"/>
  <c r="J211" i="6" s="1"/>
  <c r="I212" i="6"/>
  <c r="J212" i="6" s="1"/>
  <c r="I213" i="6"/>
  <c r="J213" i="6" s="1"/>
  <c r="I214" i="6"/>
  <c r="J214" i="6" s="1"/>
  <c r="I215" i="6"/>
  <c r="J215" i="6" s="1"/>
  <c r="I216" i="6"/>
  <c r="J216" i="6" s="1"/>
  <c r="I217" i="6"/>
  <c r="J217" i="6" s="1"/>
  <c r="I218" i="6"/>
  <c r="J218" i="6" s="1"/>
  <c r="I219" i="6"/>
  <c r="J219" i="6" s="1"/>
  <c r="I220" i="6"/>
  <c r="J220" i="6" s="1"/>
  <c r="I221" i="6"/>
  <c r="J221" i="6" s="1"/>
  <c r="I222" i="6"/>
  <c r="J222" i="6" s="1"/>
  <c r="I223" i="6"/>
  <c r="J223" i="6" s="1"/>
  <c r="I224" i="6"/>
  <c r="J224" i="6" s="1"/>
  <c r="I225" i="6"/>
  <c r="J225" i="6" s="1"/>
  <c r="I226" i="6"/>
  <c r="J226" i="6" s="1"/>
  <c r="I227" i="6"/>
  <c r="J227" i="6" s="1"/>
  <c r="I228" i="6"/>
  <c r="J228" i="6" s="1"/>
  <c r="I229" i="6"/>
  <c r="J229" i="6" s="1"/>
  <c r="I230" i="6"/>
  <c r="J230" i="6" s="1"/>
  <c r="I231" i="6"/>
  <c r="J231" i="6" s="1"/>
  <c r="I232" i="6"/>
  <c r="J232" i="6" s="1"/>
  <c r="I233" i="6"/>
  <c r="J233" i="6" s="1"/>
  <c r="I234" i="6"/>
  <c r="J234" i="6" s="1"/>
  <c r="I235" i="6"/>
  <c r="J235" i="6" s="1"/>
  <c r="I236" i="6"/>
  <c r="J236" i="6" s="1"/>
  <c r="I237" i="6"/>
  <c r="J237" i="6" s="1"/>
  <c r="I238" i="6"/>
  <c r="J238" i="6" s="1"/>
  <c r="I239" i="6"/>
  <c r="J239" i="6" s="1"/>
  <c r="I240" i="6"/>
  <c r="J240" i="6" s="1"/>
  <c r="I241" i="6"/>
  <c r="J241" i="6" s="1"/>
  <c r="I242" i="6"/>
  <c r="J242" i="6" s="1"/>
  <c r="I243" i="6"/>
  <c r="J243" i="6" s="1"/>
  <c r="I244" i="6"/>
  <c r="J244" i="6" s="1"/>
  <c r="I245" i="6"/>
  <c r="J245" i="6" s="1"/>
  <c r="I246" i="6"/>
  <c r="J246" i="6" s="1"/>
  <c r="I247" i="6"/>
  <c r="J247" i="6" s="1"/>
  <c r="I248" i="6"/>
  <c r="J248" i="6" s="1"/>
  <c r="I249" i="6"/>
  <c r="J249" i="6" s="1"/>
  <c r="I250" i="6"/>
  <c r="J250" i="6" s="1"/>
  <c r="I251" i="6"/>
  <c r="J251" i="6" s="1"/>
  <c r="I252" i="6"/>
  <c r="J252" i="6" s="1"/>
  <c r="I253" i="6"/>
  <c r="J253" i="6" s="1"/>
  <c r="I254" i="6"/>
  <c r="J254" i="6" s="1"/>
  <c r="I255" i="6"/>
  <c r="J255" i="6" s="1"/>
  <c r="I256" i="6"/>
  <c r="J256" i="6" s="1"/>
  <c r="I257" i="6"/>
  <c r="J257" i="6" s="1"/>
  <c r="I258" i="6"/>
  <c r="J258" i="6" s="1"/>
  <c r="I259" i="6"/>
  <c r="J259" i="6" s="1"/>
  <c r="I260" i="6"/>
  <c r="J260" i="6" s="1"/>
  <c r="I261" i="6"/>
  <c r="J261" i="6" s="1"/>
  <c r="I262" i="6"/>
  <c r="J262" i="6" s="1"/>
  <c r="I263" i="6"/>
  <c r="J263" i="6" s="1"/>
  <c r="I264" i="6"/>
  <c r="J264" i="6" s="1"/>
  <c r="I265" i="6"/>
  <c r="J265" i="6" s="1"/>
  <c r="I266" i="6"/>
  <c r="J266" i="6" s="1"/>
  <c r="I267" i="6"/>
  <c r="J267" i="6" s="1"/>
  <c r="I268" i="6"/>
  <c r="J268" i="6" s="1"/>
  <c r="I269" i="6"/>
  <c r="J269" i="6" s="1"/>
  <c r="I270" i="6"/>
  <c r="J270" i="6" s="1"/>
  <c r="I271" i="6"/>
  <c r="J271" i="6" s="1"/>
  <c r="I272" i="6"/>
  <c r="J272" i="6" s="1"/>
  <c r="I273" i="6"/>
  <c r="J273" i="6" s="1"/>
  <c r="I274" i="6"/>
  <c r="J274" i="6" s="1"/>
  <c r="I275" i="6"/>
  <c r="J275" i="6" s="1"/>
  <c r="I276" i="6"/>
  <c r="J276" i="6" s="1"/>
  <c r="I277" i="6"/>
  <c r="J277" i="6" s="1"/>
  <c r="I278" i="6"/>
  <c r="J278" i="6" s="1"/>
  <c r="I279" i="6"/>
  <c r="J279" i="6" s="1"/>
  <c r="I280" i="6"/>
  <c r="J280" i="6" s="1"/>
  <c r="I281" i="6"/>
  <c r="J281" i="6" s="1"/>
  <c r="I282" i="6"/>
  <c r="J282" i="6" s="1"/>
  <c r="I283" i="6"/>
  <c r="J283" i="6" s="1"/>
  <c r="I284" i="6"/>
  <c r="J284" i="6" s="1"/>
  <c r="I285" i="6"/>
  <c r="J285" i="6" s="1"/>
  <c r="I286" i="6"/>
  <c r="J286" i="6" s="1"/>
  <c r="I287" i="6"/>
  <c r="J287" i="6" s="1"/>
  <c r="I288" i="6"/>
  <c r="J288" i="6" s="1"/>
  <c r="I289" i="6"/>
  <c r="J289" i="6" s="1"/>
  <c r="I290" i="6"/>
  <c r="J290" i="6" s="1"/>
  <c r="I291" i="6"/>
  <c r="J291" i="6" s="1"/>
  <c r="I292" i="6"/>
  <c r="J292" i="6" s="1"/>
  <c r="I293" i="6"/>
  <c r="J293" i="6" s="1"/>
  <c r="I294" i="6"/>
  <c r="J294" i="6" s="1"/>
  <c r="I295" i="6"/>
  <c r="J295" i="6" s="1"/>
  <c r="I296" i="6"/>
  <c r="J296" i="6" s="1"/>
  <c r="I297" i="6"/>
  <c r="J297" i="6" s="1"/>
  <c r="I298" i="6"/>
  <c r="J298" i="6" s="1"/>
  <c r="I299" i="6"/>
  <c r="J299" i="6" s="1"/>
  <c r="I300" i="6"/>
  <c r="J300" i="6" s="1"/>
  <c r="I301" i="6"/>
  <c r="J301" i="6" s="1"/>
  <c r="I302" i="6"/>
  <c r="J302" i="6" s="1"/>
  <c r="I303" i="6"/>
  <c r="J303" i="6" s="1"/>
  <c r="I304" i="6"/>
  <c r="J304" i="6" s="1"/>
  <c r="I305" i="6"/>
  <c r="J305" i="6" s="1"/>
  <c r="I306" i="6"/>
  <c r="J306" i="6" s="1"/>
  <c r="I307" i="6"/>
  <c r="J307" i="6" s="1"/>
  <c r="I308" i="6"/>
  <c r="J308" i="6" s="1"/>
  <c r="I309" i="6"/>
  <c r="J309" i="6" s="1"/>
  <c r="I310" i="6"/>
  <c r="J310" i="6" s="1"/>
  <c r="I311" i="6"/>
  <c r="J311" i="6" s="1"/>
  <c r="I312" i="6"/>
  <c r="J312" i="6" s="1"/>
  <c r="I313" i="6"/>
  <c r="J313" i="6" s="1"/>
  <c r="I314" i="6"/>
  <c r="J314" i="6" s="1"/>
  <c r="I315" i="6"/>
  <c r="J315" i="6" s="1"/>
  <c r="I316" i="6"/>
  <c r="J316" i="6" s="1"/>
  <c r="I317" i="6"/>
  <c r="J317" i="6" s="1"/>
  <c r="I318" i="6"/>
  <c r="J318" i="6" s="1"/>
  <c r="I319" i="6"/>
  <c r="J319" i="6" s="1"/>
  <c r="I320" i="6"/>
  <c r="J320" i="6" s="1"/>
  <c r="I321" i="6"/>
  <c r="J321" i="6" s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Q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</calcChain>
</file>

<file path=xl/sharedStrings.xml><?xml version="1.0" encoding="utf-8"?>
<sst xmlns="http://schemas.openxmlformats.org/spreadsheetml/2006/main" count="3690" uniqueCount="152">
  <si>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</si>
  <si>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</si>
  <si>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</si>
  <si>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</si>
  <si>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</si>
  <si>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</si>
  <si>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</si>
  <si>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</si>
  <si>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</si>
  <si>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</si>
  <si>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</si>
  <si>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</si>
  <si>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</si>
  <si>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</si>
  <si>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</si>
  <si>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</si>
  <si>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</si>
  <si>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</si>
  <si>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</si>
  <si>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</si>
  <si>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</si>
  <si>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</si>
  <si>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</si>
  <si>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</si>
  <si>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</si>
  <si>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</si>
  <si>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</si>
  <si>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</si>
  <si>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</si>
  <si>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</si>
  <si>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</si>
  <si>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</si>
  <si>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</si>
  <si>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</si>
  <si>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</si>
  <si>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</si>
  <si>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</si>
  <si>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</si>
  <si>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</si>
  <si>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</si>
  <si>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</si>
  <si>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</si>
  <si>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</si>
  <si>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</si>
  <si>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</si>
  <si>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</si>
  <si>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</si>
  <si>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</si>
  <si>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</si>
  <si>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</si>
  <si>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</si>
  <si>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</si>
  <si>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</si>
  <si>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</si>
  <si>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</si>
  <si>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</si>
  <si>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</si>
  <si>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</si>
  <si>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</si>
  <si>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</si>
  <si>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</si>
  <si>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</si>
  <si>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</si>
  <si>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</si>
  <si>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</si>
  <si>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</si>
  <si>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</si>
  <si>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</si>
  <si>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</si>
  <si>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</si>
  <si>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</si>
  <si>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</si>
  <si>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</si>
  <si>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</si>
  <si>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</si>
  <si>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</si>
  <si>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</si>
  <si>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</si>
  <si>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</si>
  <si>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</si>
  <si>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</si>
  <si>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</si>
  <si>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</si>
  <si>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</si>
  <si>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</si>
  <si>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</si>
  <si>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</si>
  <si>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</si>
  <si>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</si>
  <si>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</si>
  <si>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</si>
  <si>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</si>
  <si>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</si>
  <si>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</si>
  <si>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</si>
  <si>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</si>
  <si>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</si>
  <si>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</si>
  <si>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</si>
  <si>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</si>
  <si>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</si>
  <si>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</si>
  <si>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</si>
  <si>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</si>
  <si>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</si>
  <si>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</si>
  <si>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East_Dummy</t>
  </si>
  <si>
    <t>North_Dummy</t>
  </si>
  <si>
    <t>West_Dummy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</si>
  <si>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</si>
  <si>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</si>
  <si>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</si>
  <si>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</si>
  <si>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</si>
  <si>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</si>
  <si>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</si>
  <si>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</si>
  <si>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</si>
  <si>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</si>
  <si>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</si>
  <si>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</si>
  <si>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</si>
  <si>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</si>
  <si>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</si>
  <si>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</si>
  <si>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</si>
  <si>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</si>
  <si>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</si>
  <si>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</si>
  <si>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</si>
  <si>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</si>
  <si>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</si>
  <si>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</si>
  <si>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</si>
  <si>
    <t>Model</t>
  </si>
  <si>
    <t>Dependent Variable</t>
  </si>
  <si>
    <t>Independent Variable(s)</t>
  </si>
  <si>
    <t>Significant Variables</t>
  </si>
  <si>
    <t>Business Usefulness</t>
  </si>
  <si>
    <t>Limitations</t>
  </si>
  <si>
    <t>Simple Regression 1</t>
  </si>
  <si>
    <t>Simple Regression 2</t>
  </si>
  <si>
    <t>Multiple Regression</t>
  </si>
  <si>
    <t>Marketing has a positive
association with sales</t>
  </si>
  <si>
    <t>Strong predictor of monthly sales</t>
  </si>
  <si>
    <t>Best mode for decision-making</t>
  </si>
  <si>
    <t>Low explanatory power (16.72%)</t>
  </si>
  <si>
    <t>Uses only one predictor</t>
  </si>
  <si>
    <t>North &amp; West are not significant;
regression shows association, not Causation</t>
  </si>
  <si>
    <r>
      <t>R</t>
    </r>
    <r>
      <rPr>
        <vertAlign val="superscript"/>
        <sz val="18"/>
        <color theme="1"/>
        <rFont val="Calibri"/>
        <family val="2"/>
        <scheme val="minor"/>
      </rPr>
      <t>2</t>
    </r>
  </si>
  <si>
    <t xml:space="preserve">marketing_spend,
footfall,
inventory_availability_pct,
East_Dummy,
North_Dummy,
West_Dummy </t>
  </si>
  <si>
    <t>marketing_spend,
footfall,
inventory_availability_pct,
East_Dummy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</si>
</sst>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rlito"/>
      <family val="2"/>
    </font>
    <font>
      <sz val="11"/>
      <color theme="1"/>
      <name val="Carlito"/>
      <family val="2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9" fillId="0" borderId="3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9" fillId="0" borderId="3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sz val="1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321" totalsRowShown="0">
  <tableColumns count="10">
    <tableColumn id="1" name="store_id" dataDxfId="9"/>
    <tableColumn id="2" name="monthly_sales"/>
    <tableColumn id="3" name="marketing_spend"/>
    <tableColumn id="4" name="footfall"/>
    <tableColumn id="5" name="inventory_availability_pct"/>
    <tableColumn id="6" name="East_Dummy"/>
    <tableColumn id="7" name="North_Dummy"/>
    <tableColumn id="8" name="West_Dummy"/>
    <tableColumn id="9" name="Predicted_Sales">
      <calculatedColumnFormula>153400.7954+1.18591413*C2+33.87042078*D2+2818.206779*E2-21940.48828*F2-11393.10865*G2-4449.116708*H2</calculatedColumnFormula>
    </tableColumn>
    <tableColumn id="10" name="Residual">
      <calculatedColumnFormula>B2-I2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4" totalsRowShown="0" headerRowDxfId="8" dataDxfId="7">
  <tableColumns count="7">
    <tableColumn id="1" name="Model" dataDxfId="6"/>
    <tableColumn id="2" name="Dependent Variable" dataDxfId="5"/>
    <tableColumn id="3" name="Independent Variable(s)" dataDxfId="4"/>
    <tableColumn id="4" name="R2" dataDxfId="3"/>
    <tableColumn id="5" name="Significant Variables" dataDxfId="2"/>
    <tableColumn id="6" name="Business Usefulness" dataDxfId="1"/>
    <tableColumn id="7" name="Limit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opLeftCell="A292" workbookViewId="0">
      <selection sqref="A1:N321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33203125" bestFit="1" customWidth="1"/>
    <col min="4" max="4" width="10" bestFit="1" customWidth="1"/>
    <col min="5" max="5" width="15.77734375" bestFit="1" customWidth="1"/>
    <col min="6" max="6" width="7.109375" bestFit="1" customWidth="1"/>
    <col min="7" max="7" width="16" bestFit="1" customWidth="1"/>
    <col min="8" max="8" width="10.6640625" bestFit="1" customWidth="1"/>
    <col min="9" max="9" width="23.109375" bestFit="1" customWidth="1"/>
    <col min="10" max="10" width="22.33203125" bestFit="1" customWidth="1"/>
    <col min="11" max="11" width="11.33203125" bestFit="1" customWidth="1"/>
    <col min="12" max="12" width="14.88671875" bestFit="1" customWidth="1"/>
    <col min="13" max="13" width="13.21875" bestFit="1" customWidth="1"/>
    <col min="14" max="14" width="13.886718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2" t="s">
        <v>14</v>
      </c>
      <c r="B2" s="3" t="s">
        <v>15</v>
      </c>
      <c r="C2" s="2" t="s">
        <v>16</v>
      </c>
      <c r="D2" s="2" t="s">
        <v>17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 ht="15" thickBot="1" x14ac:dyDescent="0.35">
      <c r="A3" s="2" t="s">
        <v>14</v>
      </c>
      <c r="B3" s="3" t="s">
        <v>18</v>
      </c>
      <c r="C3" s="2" t="s">
        <v>16</v>
      </c>
      <c r="D3" s="2" t="s">
        <v>17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 ht="15" thickBot="1" x14ac:dyDescent="0.35">
      <c r="A4" s="2" t="s">
        <v>14</v>
      </c>
      <c r="B4" s="3" t="s">
        <v>19</v>
      </c>
      <c r="C4" s="2" t="s">
        <v>16</v>
      </c>
      <c r="D4" s="2" t="s">
        <v>17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 ht="15" thickBot="1" x14ac:dyDescent="0.35">
      <c r="A5" s="2" t="s">
        <v>14</v>
      </c>
      <c r="B5" s="3" t="s">
        <v>20</v>
      </c>
      <c r="C5" s="2" t="s">
        <v>16</v>
      </c>
      <c r="D5" s="2" t="s">
        <v>17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 ht="15" thickBot="1" x14ac:dyDescent="0.35">
      <c r="A6" s="2" t="s">
        <v>21</v>
      </c>
      <c r="B6" s="3" t="s">
        <v>15</v>
      </c>
      <c r="C6" s="2" t="s">
        <v>16</v>
      </c>
      <c r="D6" s="2" t="s">
        <v>22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 ht="15" thickBot="1" x14ac:dyDescent="0.35">
      <c r="A7" s="2" t="s">
        <v>21</v>
      </c>
      <c r="B7" s="3" t="s">
        <v>18</v>
      </c>
      <c r="C7" s="2" t="s">
        <v>16</v>
      </c>
      <c r="D7" s="2" t="s">
        <v>22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 ht="15" thickBot="1" x14ac:dyDescent="0.35">
      <c r="A8" s="2" t="s">
        <v>21</v>
      </c>
      <c r="B8" s="3" t="s">
        <v>19</v>
      </c>
      <c r="C8" s="2" t="s">
        <v>16</v>
      </c>
      <c r="D8" s="2" t="s">
        <v>22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 ht="15" thickBot="1" x14ac:dyDescent="0.35">
      <c r="A9" s="2" t="s">
        <v>21</v>
      </c>
      <c r="B9" s="3" t="s">
        <v>20</v>
      </c>
      <c r="C9" s="2" t="s">
        <v>16</v>
      </c>
      <c r="D9" s="2" t="s">
        <v>22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 ht="15" thickBot="1" x14ac:dyDescent="0.35">
      <c r="A10" s="2" t="s">
        <v>23</v>
      </c>
      <c r="B10" s="3" t="s">
        <v>15</v>
      </c>
      <c r="C10" s="2" t="s">
        <v>24</v>
      </c>
      <c r="D10" s="2" t="s">
        <v>25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 ht="15" thickBot="1" x14ac:dyDescent="0.35">
      <c r="A11" s="2" t="s">
        <v>23</v>
      </c>
      <c r="B11" s="3" t="s">
        <v>18</v>
      </c>
      <c r="C11" s="2" t="s">
        <v>24</v>
      </c>
      <c r="D11" s="2" t="s">
        <v>25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 ht="15" thickBot="1" x14ac:dyDescent="0.35">
      <c r="A12" s="2" t="s">
        <v>23</v>
      </c>
      <c r="B12" s="3" t="s">
        <v>19</v>
      </c>
      <c r="C12" s="2" t="s">
        <v>24</v>
      </c>
      <c r="D12" s="2" t="s">
        <v>25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 ht="15" thickBot="1" x14ac:dyDescent="0.35">
      <c r="A13" s="2" t="s">
        <v>23</v>
      </c>
      <c r="B13" s="3" t="s">
        <v>20</v>
      </c>
      <c r="C13" s="2" t="s">
        <v>24</v>
      </c>
      <c r="D13" s="2" t="s">
        <v>25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 ht="15" thickBot="1" x14ac:dyDescent="0.35">
      <c r="A14" s="2" t="s">
        <v>26</v>
      </c>
      <c r="B14" s="3" t="s">
        <v>15</v>
      </c>
      <c r="C14" s="2" t="s">
        <v>16</v>
      </c>
      <c r="D14" s="2" t="s">
        <v>17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 ht="15" thickBot="1" x14ac:dyDescent="0.35">
      <c r="A15" s="2" t="s">
        <v>26</v>
      </c>
      <c r="B15" s="3" t="s">
        <v>18</v>
      </c>
      <c r="C15" s="2" t="s">
        <v>16</v>
      </c>
      <c r="D15" s="2" t="s">
        <v>17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 ht="15" thickBot="1" x14ac:dyDescent="0.35">
      <c r="A16" s="2" t="s">
        <v>26</v>
      </c>
      <c r="B16" s="3" t="s">
        <v>19</v>
      </c>
      <c r="C16" s="2" t="s">
        <v>16</v>
      </c>
      <c r="D16" s="2" t="s">
        <v>17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 ht="15" thickBot="1" x14ac:dyDescent="0.35">
      <c r="A17" s="2" t="s">
        <v>26</v>
      </c>
      <c r="B17" s="3" t="s">
        <v>20</v>
      </c>
      <c r="C17" s="2" t="s">
        <v>16</v>
      </c>
      <c r="D17" s="2" t="s">
        <v>17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 ht="15" thickBot="1" x14ac:dyDescent="0.35">
      <c r="A18" s="2" t="s">
        <v>27</v>
      </c>
      <c r="B18" s="3" t="s">
        <v>15</v>
      </c>
      <c r="C18" s="2" t="s">
        <v>28</v>
      </c>
      <c r="D18" s="2" t="s">
        <v>17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 ht="15" thickBot="1" x14ac:dyDescent="0.35">
      <c r="A19" s="2" t="s">
        <v>27</v>
      </c>
      <c r="B19" s="3" t="s">
        <v>18</v>
      </c>
      <c r="C19" s="2" t="s">
        <v>28</v>
      </c>
      <c r="D19" s="2" t="s">
        <v>17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 ht="15" thickBot="1" x14ac:dyDescent="0.35">
      <c r="A20" s="2" t="s">
        <v>27</v>
      </c>
      <c r="B20" s="3" t="s">
        <v>19</v>
      </c>
      <c r="C20" s="2" t="s">
        <v>28</v>
      </c>
      <c r="D20" s="2" t="s">
        <v>17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 ht="15" thickBot="1" x14ac:dyDescent="0.35">
      <c r="A21" s="2" t="s">
        <v>27</v>
      </c>
      <c r="B21" s="3" t="s">
        <v>20</v>
      </c>
      <c r="C21" s="2" t="s">
        <v>28</v>
      </c>
      <c r="D21" s="2" t="s">
        <v>17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 ht="15" thickBot="1" x14ac:dyDescent="0.35">
      <c r="A22" s="2" t="s">
        <v>29</v>
      </c>
      <c r="B22" s="3" t="s">
        <v>15</v>
      </c>
      <c r="C22" s="2" t="s">
        <v>24</v>
      </c>
      <c r="D22" s="2" t="s">
        <v>17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 ht="15" thickBot="1" x14ac:dyDescent="0.35">
      <c r="A23" s="2" t="s">
        <v>29</v>
      </c>
      <c r="B23" s="3" t="s">
        <v>18</v>
      </c>
      <c r="C23" s="2" t="s">
        <v>24</v>
      </c>
      <c r="D23" s="2" t="s">
        <v>17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 ht="15" thickBot="1" x14ac:dyDescent="0.35">
      <c r="A24" s="2" t="s">
        <v>29</v>
      </c>
      <c r="B24" s="3" t="s">
        <v>19</v>
      </c>
      <c r="C24" s="2" t="s">
        <v>24</v>
      </c>
      <c r="D24" s="2" t="s">
        <v>17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 ht="15" thickBot="1" x14ac:dyDescent="0.35">
      <c r="A25" s="2" t="s">
        <v>29</v>
      </c>
      <c r="B25" s="3" t="s">
        <v>20</v>
      </c>
      <c r="C25" s="2" t="s">
        <v>24</v>
      </c>
      <c r="D25" s="2" t="s">
        <v>17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 ht="15" thickBot="1" x14ac:dyDescent="0.35">
      <c r="A26" s="2" t="s">
        <v>30</v>
      </c>
      <c r="B26" s="3" t="s">
        <v>15</v>
      </c>
      <c r="C26" s="2" t="s">
        <v>31</v>
      </c>
      <c r="D26" s="2" t="s">
        <v>32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 ht="15" thickBot="1" x14ac:dyDescent="0.35">
      <c r="A27" s="2" t="s">
        <v>30</v>
      </c>
      <c r="B27" s="3" t="s">
        <v>18</v>
      </c>
      <c r="C27" s="2" t="s">
        <v>31</v>
      </c>
      <c r="D27" s="2" t="s">
        <v>32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 ht="15" thickBot="1" x14ac:dyDescent="0.35">
      <c r="A28" s="2" t="s">
        <v>30</v>
      </c>
      <c r="B28" s="3" t="s">
        <v>19</v>
      </c>
      <c r="C28" s="2" t="s">
        <v>31</v>
      </c>
      <c r="D28" s="2" t="s">
        <v>32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 ht="15" thickBot="1" x14ac:dyDescent="0.35">
      <c r="A29" s="2" t="s">
        <v>30</v>
      </c>
      <c r="B29" s="3" t="s">
        <v>20</v>
      </c>
      <c r="C29" s="2" t="s">
        <v>31</v>
      </c>
      <c r="D29" s="2" t="s">
        <v>32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 ht="15" thickBot="1" x14ac:dyDescent="0.35">
      <c r="A30" s="2" t="s">
        <v>33</v>
      </c>
      <c r="B30" s="3" t="s">
        <v>15</v>
      </c>
      <c r="C30" s="2" t="s">
        <v>16</v>
      </c>
      <c r="D30" s="2" t="s">
        <v>17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 ht="15" thickBot="1" x14ac:dyDescent="0.35">
      <c r="A31" s="2" t="s">
        <v>33</v>
      </c>
      <c r="B31" s="3" t="s">
        <v>18</v>
      </c>
      <c r="C31" s="2" t="s">
        <v>16</v>
      </c>
      <c r="D31" s="2" t="s">
        <v>17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 ht="15" thickBot="1" x14ac:dyDescent="0.35">
      <c r="A32" s="2" t="s">
        <v>33</v>
      </c>
      <c r="B32" s="3" t="s">
        <v>19</v>
      </c>
      <c r="C32" s="2" t="s">
        <v>16</v>
      </c>
      <c r="D32" s="2" t="s">
        <v>17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 ht="15" thickBot="1" x14ac:dyDescent="0.35">
      <c r="A33" s="2" t="s">
        <v>33</v>
      </c>
      <c r="B33" s="3" t="s">
        <v>20</v>
      </c>
      <c r="C33" s="2" t="s">
        <v>16</v>
      </c>
      <c r="D33" s="2" t="s">
        <v>17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 ht="15" thickBot="1" x14ac:dyDescent="0.35">
      <c r="A34" s="2" t="s">
        <v>34</v>
      </c>
      <c r="B34" s="3" t="s">
        <v>15</v>
      </c>
      <c r="C34" s="2" t="s">
        <v>24</v>
      </c>
      <c r="D34" s="2" t="s">
        <v>17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 ht="15" thickBot="1" x14ac:dyDescent="0.35">
      <c r="A35" s="2" t="s">
        <v>34</v>
      </c>
      <c r="B35" s="3" t="s">
        <v>18</v>
      </c>
      <c r="C35" s="2" t="s">
        <v>24</v>
      </c>
      <c r="D35" s="2" t="s">
        <v>17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2"/>
      <c r="M35" s="3">
        <v>799477.76000000001</v>
      </c>
      <c r="N35" s="3">
        <v>164974.41</v>
      </c>
    </row>
    <row r="36" spans="1:14" ht="15" thickBot="1" x14ac:dyDescent="0.35">
      <c r="A36" s="2" t="s">
        <v>34</v>
      </c>
      <c r="B36" s="3" t="s">
        <v>19</v>
      </c>
      <c r="C36" s="2" t="s">
        <v>24</v>
      </c>
      <c r="D36" s="2" t="s">
        <v>17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 ht="15" thickBot="1" x14ac:dyDescent="0.35">
      <c r="A37" s="2" t="s">
        <v>34</v>
      </c>
      <c r="B37" s="3" t="s">
        <v>20</v>
      </c>
      <c r="C37" s="2" t="s">
        <v>24</v>
      </c>
      <c r="D37" s="2" t="s">
        <v>17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 ht="15" thickBot="1" x14ac:dyDescent="0.35">
      <c r="A38" s="2" t="s">
        <v>35</v>
      </c>
      <c r="B38" s="3" t="s">
        <v>15</v>
      </c>
      <c r="C38" s="2" t="s">
        <v>24</v>
      </c>
      <c r="D38" s="2" t="s">
        <v>32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 ht="15" thickBot="1" x14ac:dyDescent="0.35">
      <c r="A39" s="2" t="s">
        <v>35</v>
      </c>
      <c r="B39" s="3" t="s">
        <v>18</v>
      </c>
      <c r="C39" s="2" t="s">
        <v>24</v>
      </c>
      <c r="D39" s="2" t="s">
        <v>32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 ht="15" thickBot="1" x14ac:dyDescent="0.35">
      <c r="A40" s="2" t="s">
        <v>35</v>
      </c>
      <c r="B40" s="3" t="s">
        <v>19</v>
      </c>
      <c r="C40" s="2" t="s">
        <v>24</v>
      </c>
      <c r="D40" s="2" t="s">
        <v>32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 ht="15" thickBot="1" x14ac:dyDescent="0.35">
      <c r="A41" s="2" t="s">
        <v>35</v>
      </c>
      <c r="B41" s="3" t="s">
        <v>20</v>
      </c>
      <c r="C41" s="2" t="s">
        <v>24</v>
      </c>
      <c r="D41" s="2" t="s">
        <v>32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 ht="15" thickBot="1" x14ac:dyDescent="0.35">
      <c r="A42" s="2" t="s">
        <v>36</v>
      </c>
      <c r="B42" s="3" t="s">
        <v>15</v>
      </c>
      <c r="C42" s="2" t="s">
        <v>16</v>
      </c>
      <c r="D42" s="2" t="s">
        <v>32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 ht="15" thickBot="1" x14ac:dyDescent="0.35">
      <c r="A43" s="2" t="s">
        <v>36</v>
      </c>
      <c r="B43" s="3" t="s">
        <v>18</v>
      </c>
      <c r="C43" s="2" t="s">
        <v>16</v>
      </c>
      <c r="D43" s="2" t="s">
        <v>32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 ht="15" thickBot="1" x14ac:dyDescent="0.35">
      <c r="A44" s="2" t="s">
        <v>36</v>
      </c>
      <c r="B44" s="3" t="s">
        <v>19</v>
      </c>
      <c r="C44" s="2" t="s">
        <v>16</v>
      </c>
      <c r="D44" s="2" t="s">
        <v>32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 ht="15" thickBot="1" x14ac:dyDescent="0.35">
      <c r="A45" s="2" t="s">
        <v>36</v>
      </c>
      <c r="B45" s="3" t="s">
        <v>20</v>
      </c>
      <c r="C45" s="2" t="s">
        <v>16</v>
      </c>
      <c r="D45" s="2" t="s">
        <v>32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 ht="15" thickBot="1" x14ac:dyDescent="0.35">
      <c r="A46" s="2" t="s">
        <v>37</v>
      </c>
      <c r="B46" s="3" t="s">
        <v>15</v>
      </c>
      <c r="C46" s="2" t="s">
        <v>31</v>
      </c>
      <c r="D46" s="2" t="s">
        <v>17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 ht="15" thickBot="1" x14ac:dyDescent="0.35">
      <c r="A47" s="2" t="s">
        <v>37</v>
      </c>
      <c r="B47" s="3" t="s">
        <v>18</v>
      </c>
      <c r="C47" s="2" t="s">
        <v>31</v>
      </c>
      <c r="D47" s="2" t="s">
        <v>17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 ht="15" thickBot="1" x14ac:dyDescent="0.35">
      <c r="A48" s="2" t="s">
        <v>37</v>
      </c>
      <c r="B48" s="3" t="s">
        <v>19</v>
      </c>
      <c r="C48" s="2" t="s">
        <v>31</v>
      </c>
      <c r="D48" s="2" t="s">
        <v>17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 ht="15" thickBot="1" x14ac:dyDescent="0.35">
      <c r="A49" s="2" t="s">
        <v>37</v>
      </c>
      <c r="B49" s="3" t="s">
        <v>20</v>
      </c>
      <c r="C49" s="2" t="s">
        <v>31</v>
      </c>
      <c r="D49" s="2" t="s">
        <v>17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 ht="15" thickBot="1" x14ac:dyDescent="0.35">
      <c r="A50" s="2" t="s">
        <v>38</v>
      </c>
      <c r="B50" s="3" t="s">
        <v>15</v>
      </c>
      <c r="C50" s="2" t="s">
        <v>24</v>
      </c>
      <c r="D50" s="2" t="s">
        <v>32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 ht="15" thickBot="1" x14ac:dyDescent="0.35">
      <c r="A51" s="2" t="s">
        <v>38</v>
      </c>
      <c r="B51" s="3" t="s">
        <v>18</v>
      </c>
      <c r="C51" s="2" t="s">
        <v>24</v>
      </c>
      <c r="D51" s="2" t="s">
        <v>32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 ht="15" thickBot="1" x14ac:dyDescent="0.35">
      <c r="A52" s="2" t="s">
        <v>38</v>
      </c>
      <c r="B52" s="3" t="s">
        <v>19</v>
      </c>
      <c r="C52" s="2" t="s">
        <v>24</v>
      </c>
      <c r="D52" s="2" t="s">
        <v>32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 ht="15" thickBot="1" x14ac:dyDescent="0.35">
      <c r="A53" s="2" t="s">
        <v>38</v>
      </c>
      <c r="B53" s="3" t="s">
        <v>20</v>
      </c>
      <c r="C53" s="2" t="s">
        <v>24</v>
      </c>
      <c r="D53" s="2" t="s">
        <v>32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 ht="15" thickBot="1" x14ac:dyDescent="0.35">
      <c r="A54" s="2" t="s">
        <v>39</v>
      </c>
      <c r="B54" s="3" t="s">
        <v>15</v>
      </c>
      <c r="C54" s="2" t="s">
        <v>31</v>
      </c>
      <c r="D54" s="2" t="s">
        <v>22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 ht="15" thickBot="1" x14ac:dyDescent="0.35">
      <c r="A55" s="2" t="s">
        <v>39</v>
      </c>
      <c r="B55" s="3" t="s">
        <v>18</v>
      </c>
      <c r="C55" s="2" t="s">
        <v>31</v>
      </c>
      <c r="D55" s="2" t="s">
        <v>22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 ht="15" thickBot="1" x14ac:dyDescent="0.35">
      <c r="A56" s="2" t="s">
        <v>39</v>
      </c>
      <c r="B56" s="3" t="s">
        <v>19</v>
      </c>
      <c r="C56" s="2" t="s">
        <v>31</v>
      </c>
      <c r="D56" s="2" t="s">
        <v>22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 ht="15" thickBot="1" x14ac:dyDescent="0.35">
      <c r="A57" s="2" t="s">
        <v>39</v>
      </c>
      <c r="B57" s="3" t="s">
        <v>20</v>
      </c>
      <c r="C57" s="2" t="s">
        <v>31</v>
      </c>
      <c r="D57" s="2" t="s">
        <v>22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 ht="15" thickBot="1" x14ac:dyDescent="0.35">
      <c r="A58" s="2" t="s">
        <v>40</v>
      </c>
      <c r="B58" s="3" t="s">
        <v>15</v>
      </c>
      <c r="C58" s="2" t="s">
        <v>16</v>
      </c>
      <c r="D58" s="2" t="s">
        <v>25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 ht="15" thickBot="1" x14ac:dyDescent="0.35">
      <c r="A59" s="2" t="s">
        <v>40</v>
      </c>
      <c r="B59" s="3" t="s">
        <v>18</v>
      </c>
      <c r="C59" s="2" t="s">
        <v>16</v>
      </c>
      <c r="D59" s="2" t="s">
        <v>25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 ht="15" thickBot="1" x14ac:dyDescent="0.35">
      <c r="A60" s="2" t="s">
        <v>40</v>
      </c>
      <c r="B60" s="3" t="s">
        <v>19</v>
      </c>
      <c r="C60" s="2" t="s">
        <v>16</v>
      </c>
      <c r="D60" s="2" t="s">
        <v>25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 ht="15" thickBot="1" x14ac:dyDescent="0.35">
      <c r="A61" s="2" t="s">
        <v>40</v>
      </c>
      <c r="B61" s="3" t="s">
        <v>20</v>
      </c>
      <c r="C61" s="2" t="s">
        <v>16</v>
      </c>
      <c r="D61" s="2" t="s">
        <v>25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 ht="15" thickBot="1" x14ac:dyDescent="0.35">
      <c r="A62" s="2" t="s">
        <v>41</v>
      </c>
      <c r="B62" s="3" t="s">
        <v>15</v>
      </c>
      <c r="C62" s="2" t="s">
        <v>28</v>
      </c>
      <c r="D62" s="2" t="s">
        <v>22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 ht="15" thickBot="1" x14ac:dyDescent="0.35">
      <c r="A63" s="2" t="s">
        <v>41</v>
      </c>
      <c r="B63" s="3" t="s">
        <v>18</v>
      </c>
      <c r="C63" s="2" t="s">
        <v>28</v>
      </c>
      <c r="D63" s="2" t="s">
        <v>22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 ht="15" thickBot="1" x14ac:dyDescent="0.35">
      <c r="A64" s="2" t="s">
        <v>41</v>
      </c>
      <c r="B64" s="3" t="s">
        <v>19</v>
      </c>
      <c r="C64" s="2" t="s">
        <v>28</v>
      </c>
      <c r="D64" s="2" t="s">
        <v>22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 ht="15" thickBot="1" x14ac:dyDescent="0.35">
      <c r="A65" s="2" t="s">
        <v>41</v>
      </c>
      <c r="B65" s="3" t="s">
        <v>20</v>
      </c>
      <c r="C65" s="2" t="s">
        <v>28</v>
      </c>
      <c r="D65" s="2" t="s">
        <v>22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 ht="15" thickBot="1" x14ac:dyDescent="0.35">
      <c r="A66" s="2" t="s">
        <v>42</v>
      </c>
      <c r="B66" s="3" t="s">
        <v>15</v>
      </c>
      <c r="C66" s="2" t="s">
        <v>31</v>
      </c>
      <c r="D66" s="2" t="s">
        <v>22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 ht="15" thickBot="1" x14ac:dyDescent="0.35">
      <c r="A67" s="2" t="s">
        <v>42</v>
      </c>
      <c r="B67" s="3" t="s">
        <v>18</v>
      </c>
      <c r="C67" s="2" t="s">
        <v>31</v>
      </c>
      <c r="D67" s="2" t="s">
        <v>22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 ht="15" thickBot="1" x14ac:dyDescent="0.35">
      <c r="A68" s="2" t="s">
        <v>42</v>
      </c>
      <c r="B68" s="3" t="s">
        <v>19</v>
      </c>
      <c r="C68" s="2" t="s">
        <v>31</v>
      </c>
      <c r="D68" s="2" t="s">
        <v>22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 ht="15" thickBot="1" x14ac:dyDescent="0.35">
      <c r="A69" s="2" t="s">
        <v>42</v>
      </c>
      <c r="B69" s="3" t="s">
        <v>20</v>
      </c>
      <c r="C69" s="2" t="s">
        <v>31</v>
      </c>
      <c r="D69" s="2" t="s">
        <v>22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 ht="15" thickBot="1" x14ac:dyDescent="0.35">
      <c r="A70" s="2" t="s">
        <v>43</v>
      </c>
      <c r="B70" s="3" t="s">
        <v>15</v>
      </c>
      <c r="C70" s="2" t="s">
        <v>16</v>
      </c>
      <c r="D70" s="2" t="s">
        <v>22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 ht="15" thickBot="1" x14ac:dyDescent="0.35">
      <c r="A71" s="2" t="s">
        <v>43</v>
      </c>
      <c r="B71" s="3" t="s">
        <v>18</v>
      </c>
      <c r="C71" s="2" t="s">
        <v>16</v>
      </c>
      <c r="D71" s="2" t="s">
        <v>22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 ht="15" thickBot="1" x14ac:dyDescent="0.35">
      <c r="A72" s="2" t="s">
        <v>43</v>
      </c>
      <c r="B72" s="3" t="s">
        <v>19</v>
      </c>
      <c r="C72" s="2" t="s">
        <v>16</v>
      </c>
      <c r="D72" s="2" t="s">
        <v>22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 ht="15" thickBot="1" x14ac:dyDescent="0.35">
      <c r="A73" s="2" t="s">
        <v>43</v>
      </c>
      <c r="B73" s="3" t="s">
        <v>20</v>
      </c>
      <c r="C73" s="2" t="s">
        <v>16</v>
      </c>
      <c r="D73" s="2" t="s">
        <v>22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2"/>
      <c r="K73" s="3">
        <v>0</v>
      </c>
      <c r="L73" s="3">
        <v>3.5</v>
      </c>
      <c r="M73" s="3">
        <v>674774.09</v>
      </c>
      <c r="N73" s="3">
        <v>141917.59</v>
      </c>
    </row>
    <row r="74" spans="1:14" ht="15" thickBot="1" x14ac:dyDescent="0.35">
      <c r="A74" s="2" t="s">
        <v>44</v>
      </c>
      <c r="B74" s="3" t="s">
        <v>15</v>
      </c>
      <c r="C74" s="2" t="s">
        <v>16</v>
      </c>
      <c r="D74" s="2" t="s">
        <v>17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 ht="15" thickBot="1" x14ac:dyDescent="0.35">
      <c r="A75" s="2" t="s">
        <v>44</v>
      </c>
      <c r="B75" s="3" t="s">
        <v>18</v>
      </c>
      <c r="C75" s="2" t="s">
        <v>16</v>
      </c>
      <c r="D75" s="2" t="s">
        <v>17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 ht="15" thickBot="1" x14ac:dyDescent="0.35">
      <c r="A76" s="2" t="s">
        <v>44</v>
      </c>
      <c r="B76" s="3" t="s">
        <v>19</v>
      </c>
      <c r="C76" s="2" t="s">
        <v>16</v>
      </c>
      <c r="D76" s="2" t="s">
        <v>17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 ht="15" thickBot="1" x14ac:dyDescent="0.35">
      <c r="A77" s="2" t="s">
        <v>44</v>
      </c>
      <c r="B77" s="3" t="s">
        <v>20</v>
      </c>
      <c r="C77" s="2" t="s">
        <v>16</v>
      </c>
      <c r="D77" s="2" t="s">
        <v>17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 ht="15" thickBot="1" x14ac:dyDescent="0.35">
      <c r="A78" s="2" t="s">
        <v>45</v>
      </c>
      <c r="B78" s="3" t="s">
        <v>15</v>
      </c>
      <c r="C78" s="2" t="s">
        <v>28</v>
      </c>
      <c r="D78" s="2" t="s">
        <v>22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 ht="15" thickBot="1" x14ac:dyDescent="0.35">
      <c r="A79" s="2" t="s">
        <v>45</v>
      </c>
      <c r="B79" s="3" t="s">
        <v>18</v>
      </c>
      <c r="C79" s="2" t="s">
        <v>28</v>
      </c>
      <c r="D79" s="2" t="s">
        <v>22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 ht="15" thickBot="1" x14ac:dyDescent="0.35">
      <c r="A80" s="2" t="s">
        <v>45</v>
      </c>
      <c r="B80" s="3" t="s">
        <v>19</v>
      </c>
      <c r="C80" s="2" t="s">
        <v>28</v>
      </c>
      <c r="D80" s="2" t="s">
        <v>22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 ht="15" thickBot="1" x14ac:dyDescent="0.35">
      <c r="A81" s="2" t="s">
        <v>45</v>
      </c>
      <c r="B81" s="3" t="s">
        <v>20</v>
      </c>
      <c r="C81" s="2" t="s">
        <v>28</v>
      </c>
      <c r="D81" s="2" t="s">
        <v>22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 ht="15" thickBot="1" x14ac:dyDescent="0.35">
      <c r="A82" s="2" t="s">
        <v>46</v>
      </c>
      <c r="B82" s="3" t="s">
        <v>15</v>
      </c>
      <c r="C82" s="2" t="s">
        <v>31</v>
      </c>
      <c r="D82" s="2" t="s">
        <v>32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 ht="15" thickBot="1" x14ac:dyDescent="0.35">
      <c r="A83" s="2" t="s">
        <v>46</v>
      </c>
      <c r="B83" s="3" t="s">
        <v>18</v>
      </c>
      <c r="C83" s="2" t="s">
        <v>31</v>
      </c>
      <c r="D83" s="2" t="s">
        <v>32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 ht="15" thickBot="1" x14ac:dyDescent="0.35">
      <c r="A84" s="2" t="s">
        <v>46</v>
      </c>
      <c r="B84" s="3" t="s">
        <v>19</v>
      </c>
      <c r="C84" s="2" t="s">
        <v>31</v>
      </c>
      <c r="D84" s="2" t="s">
        <v>32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 ht="15" thickBot="1" x14ac:dyDescent="0.35">
      <c r="A85" s="2" t="s">
        <v>46</v>
      </c>
      <c r="B85" s="3" t="s">
        <v>20</v>
      </c>
      <c r="C85" s="2" t="s">
        <v>31</v>
      </c>
      <c r="D85" s="2" t="s">
        <v>32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 ht="15" thickBot="1" x14ac:dyDescent="0.35">
      <c r="A86" s="2" t="s">
        <v>47</v>
      </c>
      <c r="B86" s="3" t="s">
        <v>15</v>
      </c>
      <c r="C86" s="2" t="s">
        <v>31</v>
      </c>
      <c r="D86" s="2" t="s">
        <v>22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 ht="15" thickBot="1" x14ac:dyDescent="0.35">
      <c r="A87" s="2" t="s">
        <v>47</v>
      </c>
      <c r="B87" s="3" t="s">
        <v>18</v>
      </c>
      <c r="C87" s="2" t="s">
        <v>31</v>
      </c>
      <c r="D87" s="2" t="s">
        <v>22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2"/>
      <c r="M87" s="3">
        <v>611766.72</v>
      </c>
      <c r="N87" s="3">
        <v>88275.61</v>
      </c>
    </row>
    <row r="88" spans="1:14" ht="15" thickBot="1" x14ac:dyDescent="0.35">
      <c r="A88" s="2" t="s">
        <v>47</v>
      </c>
      <c r="B88" s="3" t="s">
        <v>19</v>
      </c>
      <c r="C88" s="2" t="s">
        <v>31</v>
      </c>
      <c r="D88" s="2" t="s">
        <v>22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 ht="15" thickBot="1" x14ac:dyDescent="0.35">
      <c r="A89" s="2" t="s">
        <v>47</v>
      </c>
      <c r="B89" s="3" t="s">
        <v>20</v>
      </c>
      <c r="C89" s="2" t="s">
        <v>31</v>
      </c>
      <c r="D89" s="2" t="s">
        <v>22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 ht="15" thickBot="1" x14ac:dyDescent="0.35">
      <c r="A90" s="2" t="s">
        <v>48</v>
      </c>
      <c r="B90" s="3" t="s">
        <v>15</v>
      </c>
      <c r="C90" s="2" t="s">
        <v>28</v>
      </c>
      <c r="D90" s="2" t="s">
        <v>32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 ht="15" thickBot="1" x14ac:dyDescent="0.35">
      <c r="A91" s="2" t="s">
        <v>48</v>
      </c>
      <c r="B91" s="3" t="s">
        <v>18</v>
      </c>
      <c r="C91" s="2" t="s">
        <v>28</v>
      </c>
      <c r="D91" s="2" t="s">
        <v>32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 ht="15" thickBot="1" x14ac:dyDescent="0.35">
      <c r="A92" s="2" t="s">
        <v>48</v>
      </c>
      <c r="B92" s="3" t="s">
        <v>19</v>
      </c>
      <c r="C92" s="2" t="s">
        <v>28</v>
      </c>
      <c r="D92" s="2" t="s">
        <v>32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 ht="15" thickBot="1" x14ac:dyDescent="0.35">
      <c r="A93" s="2" t="s">
        <v>48</v>
      </c>
      <c r="B93" s="3" t="s">
        <v>20</v>
      </c>
      <c r="C93" s="2" t="s">
        <v>28</v>
      </c>
      <c r="D93" s="2" t="s">
        <v>32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 ht="15" thickBot="1" x14ac:dyDescent="0.35">
      <c r="A94" s="2" t="s">
        <v>49</v>
      </c>
      <c r="B94" s="3" t="s">
        <v>15</v>
      </c>
      <c r="C94" s="2" t="s">
        <v>31</v>
      </c>
      <c r="D94" s="2" t="s">
        <v>17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 ht="15" thickBot="1" x14ac:dyDescent="0.35">
      <c r="A95" s="2" t="s">
        <v>49</v>
      </c>
      <c r="B95" s="3" t="s">
        <v>18</v>
      </c>
      <c r="C95" s="2" t="s">
        <v>31</v>
      </c>
      <c r="D95" s="2" t="s">
        <v>17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 ht="15" thickBot="1" x14ac:dyDescent="0.35">
      <c r="A96" s="2" t="s">
        <v>49</v>
      </c>
      <c r="B96" s="3" t="s">
        <v>19</v>
      </c>
      <c r="C96" s="2" t="s">
        <v>31</v>
      </c>
      <c r="D96" s="2" t="s">
        <v>17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 ht="15" thickBot="1" x14ac:dyDescent="0.35">
      <c r="A97" s="2" t="s">
        <v>49</v>
      </c>
      <c r="B97" s="3" t="s">
        <v>20</v>
      </c>
      <c r="C97" s="2" t="s">
        <v>31</v>
      </c>
      <c r="D97" s="2" t="s">
        <v>17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 ht="15" thickBot="1" x14ac:dyDescent="0.35">
      <c r="A98" s="2" t="s">
        <v>50</v>
      </c>
      <c r="B98" s="3" t="s">
        <v>15</v>
      </c>
      <c r="C98" s="2" t="s">
        <v>31</v>
      </c>
      <c r="D98" s="2" t="s">
        <v>32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 ht="15" thickBot="1" x14ac:dyDescent="0.35">
      <c r="A99" s="2" t="s">
        <v>50</v>
      </c>
      <c r="B99" s="3" t="s">
        <v>18</v>
      </c>
      <c r="C99" s="2" t="s">
        <v>31</v>
      </c>
      <c r="D99" s="2" t="s">
        <v>32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 ht="15" thickBot="1" x14ac:dyDescent="0.35">
      <c r="A100" s="2" t="s">
        <v>50</v>
      </c>
      <c r="B100" s="3" t="s">
        <v>19</v>
      </c>
      <c r="C100" s="2" t="s">
        <v>31</v>
      </c>
      <c r="D100" s="2" t="s">
        <v>32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2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 ht="15" thickBot="1" x14ac:dyDescent="0.35">
      <c r="A101" s="2" t="s">
        <v>50</v>
      </c>
      <c r="B101" s="3" t="s">
        <v>20</v>
      </c>
      <c r="C101" s="2" t="s">
        <v>31</v>
      </c>
      <c r="D101" s="2" t="s">
        <v>32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 ht="15" thickBot="1" x14ac:dyDescent="0.35">
      <c r="A102" s="2" t="s">
        <v>51</v>
      </c>
      <c r="B102" s="3" t="s">
        <v>15</v>
      </c>
      <c r="C102" s="2" t="s">
        <v>16</v>
      </c>
      <c r="D102" s="2" t="s">
        <v>32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 ht="15" thickBot="1" x14ac:dyDescent="0.35">
      <c r="A103" s="2" t="s">
        <v>51</v>
      </c>
      <c r="B103" s="3" t="s">
        <v>18</v>
      </c>
      <c r="C103" s="2" t="s">
        <v>16</v>
      </c>
      <c r="D103" s="2" t="s">
        <v>32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 ht="15" thickBot="1" x14ac:dyDescent="0.35">
      <c r="A104" s="2" t="s">
        <v>51</v>
      </c>
      <c r="B104" s="3" t="s">
        <v>19</v>
      </c>
      <c r="C104" s="2" t="s">
        <v>16</v>
      </c>
      <c r="D104" s="2" t="s">
        <v>32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 ht="15" thickBot="1" x14ac:dyDescent="0.35">
      <c r="A105" s="2" t="s">
        <v>51</v>
      </c>
      <c r="B105" s="3" t="s">
        <v>20</v>
      </c>
      <c r="C105" s="2" t="s">
        <v>16</v>
      </c>
      <c r="D105" s="2" t="s">
        <v>32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 ht="15" thickBot="1" x14ac:dyDescent="0.35">
      <c r="A106" s="2" t="s">
        <v>52</v>
      </c>
      <c r="B106" s="3" t="s">
        <v>15</v>
      </c>
      <c r="C106" s="2" t="s">
        <v>31</v>
      </c>
      <c r="D106" s="2" t="s">
        <v>22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 ht="15" thickBot="1" x14ac:dyDescent="0.35">
      <c r="A107" s="2" t="s">
        <v>52</v>
      </c>
      <c r="B107" s="3" t="s">
        <v>18</v>
      </c>
      <c r="C107" s="2" t="s">
        <v>31</v>
      </c>
      <c r="D107" s="2" t="s">
        <v>22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 ht="15" thickBot="1" x14ac:dyDescent="0.35">
      <c r="A108" s="2" t="s">
        <v>52</v>
      </c>
      <c r="B108" s="3" t="s">
        <v>19</v>
      </c>
      <c r="C108" s="2" t="s">
        <v>31</v>
      </c>
      <c r="D108" s="2" t="s">
        <v>22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 ht="15" thickBot="1" x14ac:dyDescent="0.35">
      <c r="A109" s="2" t="s">
        <v>52</v>
      </c>
      <c r="B109" s="3" t="s">
        <v>20</v>
      </c>
      <c r="C109" s="2" t="s">
        <v>31</v>
      </c>
      <c r="D109" s="2" t="s">
        <v>22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 ht="15" thickBot="1" x14ac:dyDescent="0.35">
      <c r="A110" s="2" t="s">
        <v>53</v>
      </c>
      <c r="B110" s="3" t="s">
        <v>15</v>
      </c>
      <c r="C110" s="2" t="s">
        <v>16</v>
      </c>
      <c r="D110" s="2" t="s">
        <v>32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 ht="15" thickBot="1" x14ac:dyDescent="0.35">
      <c r="A111" s="2" t="s">
        <v>53</v>
      </c>
      <c r="B111" s="3" t="s">
        <v>18</v>
      </c>
      <c r="C111" s="2" t="s">
        <v>16</v>
      </c>
      <c r="D111" s="2" t="s">
        <v>32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 ht="15" thickBot="1" x14ac:dyDescent="0.35">
      <c r="A112" s="2" t="s">
        <v>53</v>
      </c>
      <c r="B112" s="3" t="s">
        <v>19</v>
      </c>
      <c r="C112" s="2" t="s">
        <v>16</v>
      </c>
      <c r="D112" s="2" t="s">
        <v>32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 ht="15" thickBot="1" x14ac:dyDescent="0.35">
      <c r="A113" s="2" t="s">
        <v>53</v>
      </c>
      <c r="B113" s="3" t="s">
        <v>20</v>
      </c>
      <c r="C113" s="2" t="s">
        <v>16</v>
      </c>
      <c r="D113" s="2" t="s">
        <v>32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 ht="15" thickBot="1" x14ac:dyDescent="0.35">
      <c r="A114" s="2" t="s">
        <v>54</v>
      </c>
      <c r="B114" s="3" t="s">
        <v>15</v>
      </c>
      <c r="C114" s="2" t="s">
        <v>31</v>
      </c>
      <c r="D114" s="2" t="s">
        <v>32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 ht="15" thickBot="1" x14ac:dyDescent="0.35">
      <c r="A115" s="2" t="s">
        <v>54</v>
      </c>
      <c r="B115" s="3" t="s">
        <v>18</v>
      </c>
      <c r="C115" s="2" t="s">
        <v>31</v>
      </c>
      <c r="D115" s="2" t="s">
        <v>32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 ht="15" thickBot="1" x14ac:dyDescent="0.35">
      <c r="A116" s="2" t="s">
        <v>54</v>
      </c>
      <c r="B116" s="3" t="s">
        <v>19</v>
      </c>
      <c r="C116" s="2" t="s">
        <v>31</v>
      </c>
      <c r="D116" s="2" t="s">
        <v>32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 ht="15" thickBot="1" x14ac:dyDescent="0.35">
      <c r="A117" s="2" t="s">
        <v>54</v>
      </c>
      <c r="B117" s="3" t="s">
        <v>20</v>
      </c>
      <c r="C117" s="2" t="s">
        <v>31</v>
      </c>
      <c r="D117" s="2" t="s">
        <v>32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 ht="15" thickBot="1" x14ac:dyDescent="0.35">
      <c r="A118" s="2" t="s">
        <v>55</v>
      </c>
      <c r="B118" s="3" t="s">
        <v>15</v>
      </c>
      <c r="C118" s="2" t="s">
        <v>31</v>
      </c>
      <c r="D118" s="2" t="s">
        <v>17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 ht="15" thickBot="1" x14ac:dyDescent="0.35">
      <c r="A119" s="2" t="s">
        <v>55</v>
      </c>
      <c r="B119" s="3" t="s">
        <v>18</v>
      </c>
      <c r="C119" s="2" t="s">
        <v>31</v>
      </c>
      <c r="D119" s="2" t="s">
        <v>17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 ht="15" thickBot="1" x14ac:dyDescent="0.35">
      <c r="A120" s="2" t="s">
        <v>55</v>
      </c>
      <c r="B120" s="3" t="s">
        <v>19</v>
      </c>
      <c r="C120" s="2" t="s">
        <v>31</v>
      </c>
      <c r="D120" s="2" t="s">
        <v>17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 ht="15" thickBot="1" x14ac:dyDescent="0.35">
      <c r="A121" s="2" t="s">
        <v>55</v>
      </c>
      <c r="B121" s="3" t="s">
        <v>20</v>
      </c>
      <c r="C121" s="2" t="s">
        <v>31</v>
      </c>
      <c r="D121" s="2" t="s">
        <v>17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 ht="15" thickBot="1" x14ac:dyDescent="0.35">
      <c r="A122" s="2" t="s">
        <v>56</v>
      </c>
      <c r="B122" s="3" t="s">
        <v>15</v>
      </c>
      <c r="C122" s="2" t="s">
        <v>24</v>
      </c>
      <c r="D122" s="2" t="s">
        <v>22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 ht="15" thickBot="1" x14ac:dyDescent="0.35">
      <c r="A123" s="2" t="s">
        <v>56</v>
      </c>
      <c r="B123" s="3" t="s">
        <v>18</v>
      </c>
      <c r="C123" s="2" t="s">
        <v>24</v>
      </c>
      <c r="D123" s="2" t="s">
        <v>22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 ht="15" thickBot="1" x14ac:dyDescent="0.35">
      <c r="A124" s="2" t="s">
        <v>56</v>
      </c>
      <c r="B124" s="3" t="s">
        <v>19</v>
      </c>
      <c r="C124" s="2" t="s">
        <v>24</v>
      </c>
      <c r="D124" s="2" t="s">
        <v>22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 ht="15" thickBot="1" x14ac:dyDescent="0.35">
      <c r="A125" s="2" t="s">
        <v>56</v>
      </c>
      <c r="B125" s="3" t="s">
        <v>20</v>
      </c>
      <c r="C125" s="2" t="s">
        <v>24</v>
      </c>
      <c r="D125" s="2" t="s">
        <v>22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 ht="15" thickBot="1" x14ac:dyDescent="0.35">
      <c r="A126" s="2" t="s">
        <v>57</v>
      </c>
      <c r="B126" s="3" t="s">
        <v>15</v>
      </c>
      <c r="C126" s="2" t="s">
        <v>28</v>
      </c>
      <c r="D126" s="2" t="s">
        <v>22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 ht="15" thickBot="1" x14ac:dyDescent="0.35">
      <c r="A127" s="2" t="s">
        <v>57</v>
      </c>
      <c r="B127" s="3" t="s">
        <v>18</v>
      </c>
      <c r="C127" s="2" t="s">
        <v>28</v>
      </c>
      <c r="D127" s="2" t="s">
        <v>22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 ht="15" thickBot="1" x14ac:dyDescent="0.35">
      <c r="A128" s="2" t="s">
        <v>57</v>
      </c>
      <c r="B128" s="3" t="s">
        <v>19</v>
      </c>
      <c r="C128" s="2" t="s">
        <v>28</v>
      </c>
      <c r="D128" s="2" t="s">
        <v>22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 ht="15" thickBot="1" x14ac:dyDescent="0.35">
      <c r="A129" s="2" t="s">
        <v>57</v>
      </c>
      <c r="B129" s="3" t="s">
        <v>20</v>
      </c>
      <c r="C129" s="2" t="s">
        <v>28</v>
      </c>
      <c r="D129" s="2" t="s">
        <v>22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 ht="15" thickBot="1" x14ac:dyDescent="0.35">
      <c r="A130" s="2" t="s">
        <v>58</v>
      </c>
      <c r="B130" s="3" t="s">
        <v>15</v>
      </c>
      <c r="C130" s="2" t="s">
        <v>16</v>
      </c>
      <c r="D130" s="2" t="s">
        <v>22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 ht="15" thickBot="1" x14ac:dyDescent="0.35">
      <c r="A131" s="2" t="s">
        <v>58</v>
      </c>
      <c r="B131" s="3" t="s">
        <v>18</v>
      </c>
      <c r="C131" s="2" t="s">
        <v>16</v>
      </c>
      <c r="D131" s="2" t="s">
        <v>22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 ht="15" thickBot="1" x14ac:dyDescent="0.35">
      <c r="A132" s="2" t="s">
        <v>58</v>
      </c>
      <c r="B132" s="3" t="s">
        <v>19</v>
      </c>
      <c r="C132" s="2" t="s">
        <v>16</v>
      </c>
      <c r="D132" s="2" t="s">
        <v>22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 ht="15" thickBot="1" x14ac:dyDescent="0.35">
      <c r="A133" s="2" t="s">
        <v>58</v>
      </c>
      <c r="B133" s="3" t="s">
        <v>20</v>
      </c>
      <c r="C133" s="2" t="s">
        <v>16</v>
      </c>
      <c r="D133" s="2" t="s">
        <v>22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 ht="15" thickBot="1" x14ac:dyDescent="0.35">
      <c r="A134" s="2" t="s">
        <v>59</v>
      </c>
      <c r="B134" s="3" t="s">
        <v>15</v>
      </c>
      <c r="C134" s="2" t="s">
        <v>24</v>
      </c>
      <c r="D134" s="2" t="s">
        <v>22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 ht="15" thickBot="1" x14ac:dyDescent="0.35">
      <c r="A135" s="2" t="s">
        <v>59</v>
      </c>
      <c r="B135" s="3" t="s">
        <v>18</v>
      </c>
      <c r="C135" s="2" t="s">
        <v>24</v>
      </c>
      <c r="D135" s="2" t="s">
        <v>22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2"/>
      <c r="M135" s="3">
        <v>400831.65</v>
      </c>
      <c r="N135" s="3">
        <v>70979.31</v>
      </c>
    </row>
    <row r="136" spans="1:14" ht="15" thickBot="1" x14ac:dyDescent="0.35">
      <c r="A136" s="2" t="s">
        <v>59</v>
      </c>
      <c r="B136" s="3" t="s">
        <v>19</v>
      </c>
      <c r="C136" s="2" t="s">
        <v>24</v>
      </c>
      <c r="D136" s="2" t="s">
        <v>22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 ht="15" thickBot="1" x14ac:dyDescent="0.35">
      <c r="A137" s="2" t="s">
        <v>59</v>
      </c>
      <c r="B137" s="3" t="s">
        <v>20</v>
      </c>
      <c r="C137" s="2" t="s">
        <v>24</v>
      </c>
      <c r="D137" s="2" t="s">
        <v>22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 ht="15" thickBot="1" x14ac:dyDescent="0.35">
      <c r="A138" s="2" t="s">
        <v>60</v>
      </c>
      <c r="B138" s="3" t="s">
        <v>15</v>
      </c>
      <c r="C138" s="2" t="s">
        <v>28</v>
      </c>
      <c r="D138" s="2" t="s">
        <v>17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2"/>
      <c r="M138" s="3">
        <v>633638.03</v>
      </c>
      <c r="N138" s="3">
        <v>99402.01</v>
      </c>
    </row>
    <row r="139" spans="1:14" ht="15" thickBot="1" x14ac:dyDescent="0.35">
      <c r="A139" s="2" t="s">
        <v>60</v>
      </c>
      <c r="B139" s="3" t="s">
        <v>18</v>
      </c>
      <c r="C139" s="2" t="s">
        <v>28</v>
      </c>
      <c r="D139" s="2" t="s">
        <v>17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 ht="15" thickBot="1" x14ac:dyDescent="0.35">
      <c r="A140" s="2" t="s">
        <v>60</v>
      </c>
      <c r="B140" s="3" t="s">
        <v>19</v>
      </c>
      <c r="C140" s="2" t="s">
        <v>28</v>
      </c>
      <c r="D140" s="2" t="s">
        <v>17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 ht="15" thickBot="1" x14ac:dyDescent="0.35">
      <c r="A141" s="2" t="s">
        <v>60</v>
      </c>
      <c r="B141" s="3" t="s">
        <v>20</v>
      </c>
      <c r="C141" s="2" t="s">
        <v>28</v>
      </c>
      <c r="D141" s="2" t="s">
        <v>17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 ht="15" thickBot="1" x14ac:dyDescent="0.35">
      <c r="A142" s="2" t="s">
        <v>61</v>
      </c>
      <c r="B142" s="3" t="s">
        <v>15</v>
      </c>
      <c r="C142" s="2" t="s">
        <v>31</v>
      </c>
      <c r="D142" s="2" t="s">
        <v>22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 ht="15" thickBot="1" x14ac:dyDescent="0.35">
      <c r="A143" s="2" t="s">
        <v>61</v>
      </c>
      <c r="B143" s="3" t="s">
        <v>18</v>
      </c>
      <c r="C143" s="2" t="s">
        <v>31</v>
      </c>
      <c r="D143" s="2" t="s">
        <v>22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 ht="15" thickBot="1" x14ac:dyDescent="0.35">
      <c r="A144" s="2" t="s">
        <v>61</v>
      </c>
      <c r="B144" s="3" t="s">
        <v>19</v>
      </c>
      <c r="C144" s="2" t="s">
        <v>31</v>
      </c>
      <c r="D144" s="2" t="s">
        <v>22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 ht="15" thickBot="1" x14ac:dyDescent="0.35">
      <c r="A145" s="2" t="s">
        <v>61</v>
      </c>
      <c r="B145" s="3" t="s">
        <v>20</v>
      </c>
      <c r="C145" s="2" t="s">
        <v>31</v>
      </c>
      <c r="D145" s="2" t="s">
        <v>22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 ht="15" thickBot="1" x14ac:dyDescent="0.35">
      <c r="A146" s="2" t="s">
        <v>62</v>
      </c>
      <c r="B146" s="3" t="s">
        <v>15</v>
      </c>
      <c r="C146" s="2" t="s">
        <v>24</v>
      </c>
      <c r="D146" s="2" t="s">
        <v>17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 ht="15" thickBot="1" x14ac:dyDescent="0.35">
      <c r="A147" s="2" t="s">
        <v>62</v>
      </c>
      <c r="B147" s="3" t="s">
        <v>18</v>
      </c>
      <c r="C147" s="2" t="s">
        <v>24</v>
      </c>
      <c r="D147" s="2" t="s">
        <v>17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 ht="15" thickBot="1" x14ac:dyDescent="0.35">
      <c r="A148" s="2" t="s">
        <v>62</v>
      </c>
      <c r="B148" s="3" t="s">
        <v>19</v>
      </c>
      <c r="C148" s="2" t="s">
        <v>24</v>
      </c>
      <c r="D148" s="2" t="s">
        <v>17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 ht="15" thickBot="1" x14ac:dyDescent="0.35">
      <c r="A149" s="2" t="s">
        <v>62</v>
      </c>
      <c r="B149" s="3" t="s">
        <v>20</v>
      </c>
      <c r="C149" s="2" t="s">
        <v>24</v>
      </c>
      <c r="D149" s="2" t="s">
        <v>17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 ht="15" thickBot="1" x14ac:dyDescent="0.35">
      <c r="A150" s="2" t="s">
        <v>63</v>
      </c>
      <c r="B150" s="3" t="s">
        <v>15</v>
      </c>
      <c r="C150" s="2" t="s">
        <v>28</v>
      </c>
      <c r="D150" s="2" t="s">
        <v>32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 ht="15" thickBot="1" x14ac:dyDescent="0.35">
      <c r="A151" s="2" t="s">
        <v>63</v>
      </c>
      <c r="B151" s="3" t="s">
        <v>18</v>
      </c>
      <c r="C151" s="2" t="s">
        <v>28</v>
      </c>
      <c r="D151" s="2" t="s">
        <v>32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 ht="15" thickBot="1" x14ac:dyDescent="0.35">
      <c r="A152" s="2" t="s">
        <v>63</v>
      </c>
      <c r="B152" s="3" t="s">
        <v>19</v>
      </c>
      <c r="C152" s="2" t="s">
        <v>28</v>
      </c>
      <c r="D152" s="2" t="s">
        <v>32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 ht="15" thickBot="1" x14ac:dyDescent="0.35">
      <c r="A153" s="2" t="s">
        <v>63</v>
      </c>
      <c r="B153" s="3" t="s">
        <v>20</v>
      </c>
      <c r="C153" s="2" t="s">
        <v>28</v>
      </c>
      <c r="D153" s="2" t="s">
        <v>32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 ht="15" thickBot="1" x14ac:dyDescent="0.35">
      <c r="A154" s="2" t="s">
        <v>64</v>
      </c>
      <c r="B154" s="3" t="s">
        <v>15</v>
      </c>
      <c r="C154" s="2" t="s">
        <v>16</v>
      </c>
      <c r="D154" s="2" t="s">
        <v>22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 ht="15" thickBot="1" x14ac:dyDescent="0.35">
      <c r="A155" s="2" t="s">
        <v>64</v>
      </c>
      <c r="B155" s="3" t="s">
        <v>18</v>
      </c>
      <c r="C155" s="2" t="s">
        <v>16</v>
      </c>
      <c r="D155" s="2" t="s">
        <v>22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 ht="15" thickBot="1" x14ac:dyDescent="0.35">
      <c r="A156" s="2" t="s">
        <v>64</v>
      </c>
      <c r="B156" s="3" t="s">
        <v>19</v>
      </c>
      <c r="C156" s="2" t="s">
        <v>16</v>
      </c>
      <c r="D156" s="2" t="s">
        <v>22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 ht="15" thickBot="1" x14ac:dyDescent="0.35">
      <c r="A157" s="2" t="s">
        <v>64</v>
      </c>
      <c r="B157" s="3" t="s">
        <v>20</v>
      </c>
      <c r="C157" s="2" t="s">
        <v>16</v>
      </c>
      <c r="D157" s="2" t="s">
        <v>22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 ht="15" thickBot="1" x14ac:dyDescent="0.35">
      <c r="A158" s="2" t="s">
        <v>65</v>
      </c>
      <c r="B158" s="3" t="s">
        <v>15</v>
      </c>
      <c r="C158" s="2" t="s">
        <v>24</v>
      </c>
      <c r="D158" s="2" t="s">
        <v>32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 ht="15" thickBot="1" x14ac:dyDescent="0.35">
      <c r="A159" s="2" t="s">
        <v>65</v>
      </c>
      <c r="B159" s="3" t="s">
        <v>18</v>
      </c>
      <c r="C159" s="2" t="s">
        <v>24</v>
      </c>
      <c r="D159" s="2" t="s">
        <v>32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 ht="15" thickBot="1" x14ac:dyDescent="0.35">
      <c r="A160" s="2" t="s">
        <v>65</v>
      </c>
      <c r="B160" s="3" t="s">
        <v>19</v>
      </c>
      <c r="C160" s="2" t="s">
        <v>24</v>
      </c>
      <c r="D160" s="2" t="s">
        <v>32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 ht="15" thickBot="1" x14ac:dyDescent="0.35">
      <c r="A161" s="2" t="s">
        <v>65</v>
      </c>
      <c r="B161" s="3" t="s">
        <v>20</v>
      </c>
      <c r="C161" s="2" t="s">
        <v>24</v>
      </c>
      <c r="D161" s="2" t="s">
        <v>32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 ht="15" thickBot="1" x14ac:dyDescent="0.35">
      <c r="A162" s="2" t="s">
        <v>66</v>
      </c>
      <c r="B162" s="3" t="s">
        <v>15</v>
      </c>
      <c r="C162" s="2" t="s">
        <v>28</v>
      </c>
      <c r="D162" s="2" t="s">
        <v>22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 ht="15" thickBot="1" x14ac:dyDescent="0.35">
      <c r="A163" s="2" t="s">
        <v>66</v>
      </c>
      <c r="B163" s="3" t="s">
        <v>18</v>
      </c>
      <c r="C163" s="2" t="s">
        <v>28</v>
      </c>
      <c r="D163" s="2" t="s">
        <v>22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 ht="15" thickBot="1" x14ac:dyDescent="0.35">
      <c r="A164" s="2" t="s">
        <v>66</v>
      </c>
      <c r="B164" s="3" t="s">
        <v>19</v>
      </c>
      <c r="C164" s="2" t="s">
        <v>28</v>
      </c>
      <c r="D164" s="2" t="s">
        <v>22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2"/>
      <c r="K164" s="3">
        <v>0</v>
      </c>
      <c r="L164" s="3">
        <v>4.2</v>
      </c>
      <c r="M164" s="3">
        <v>677096.71</v>
      </c>
      <c r="N164" s="3">
        <v>97174.11</v>
      </c>
    </row>
    <row r="165" spans="1:14" ht="15" thickBot="1" x14ac:dyDescent="0.35">
      <c r="A165" s="2" t="s">
        <v>66</v>
      </c>
      <c r="B165" s="3" t="s">
        <v>20</v>
      </c>
      <c r="C165" s="2" t="s">
        <v>28</v>
      </c>
      <c r="D165" s="2" t="s">
        <v>22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 ht="15" thickBot="1" x14ac:dyDescent="0.35">
      <c r="A166" s="2" t="s">
        <v>67</v>
      </c>
      <c r="B166" s="3" t="s">
        <v>15</v>
      </c>
      <c r="C166" s="2" t="s">
        <v>24</v>
      </c>
      <c r="D166" s="2" t="s">
        <v>32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 ht="15" thickBot="1" x14ac:dyDescent="0.35">
      <c r="A167" s="2" t="s">
        <v>67</v>
      </c>
      <c r="B167" s="3" t="s">
        <v>18</v>
      </c>
      <c r="C167" s="2" t="s">
        <v>24</v>
      </c>
      <c r="D167" s="2" t="s">
        <v>32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 ht="15" thickBot="1" x14ac:dyDescent="0.35">
      <c r="A168" s="2" t="s">
        <v>67</v>
      </c>
      <c r="B168" s="3" t="s">
        <v>19</v>
      </c>
      <c r="C168" s="2" t="s">
        <v>24</v>
      </c>
      <c r="D168" s="2" t="s">
        <v>32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 ht="15" thickBot="1" x14ac:dyDescent="0.35">
      <c r="A169" s="2" t="s">
        <v>67</v>
      </c>
      <c r="B169" s="3" t="s">
        <v>20</v>
      </c>
      <c r="C169" s="2" t="s">
        <v>24</v>
      </c>
      <c r="D169" s="2" t="s">
        <v>32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 ht="15" thickBot="1" x14ac:dyDescent="0.35">
      <c r="A170" s="2" t="s">
        <v>68</v>
      </c>
      <c r="B170" s="3" t="s">
        <v>15</v>
      </c>
      <c r="C170" s="2" t="s">
        <v>16</v>
      </c>
      <c r="D170" s="2" t="s">
        <v>17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 ht="15" thickBot="1" x14ac:dyDescent="0.35">
      <c r="A171" s="2" t="s">
        <v>68</v>
      </c>
      <c r="B171" s="3" t="s">
        <v>18</v>
      </c>
      <c r="C171" s="2" t="s">
        <v>16</v>
      </c>
      <c r="D171" s="2" t="s">
        <v>17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 ht="15" thickBot="1" x14ac:dyDescent="0.35">
      <c r="A172" s="2" t="s">
        <v>68</v>
      </c>
      <c r="B172" s="3" t="s">
        <v>19</v>
      </c>
      <c r="C172" s="2" t="s">
        <v>16</v>
      </c>
      <c r="D172" s="2" t="s">
        <v>17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 ht="15" thickBot="1" x14ac:dyDescent="0.35">
      <c r="A173" s="2" t="s">
        <v>68</v>
      </c>
      <c r="B173" s="3" t="s">
        <v>20</v>
      </c>
      <c r="C173" s="2" t="s">
        <v>16</v>
      </c>
      <c r="D173" s="2" t="s">
        <v>17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 ht="15" thickBot="1" x14ac:dyDescent="0.35">
      <c r="A174" s="2" t="s">
        <v>69</v>
      </c>
      <c r="B174" s="3" t="s">
        <v>15</v>
      </c>
      <c r="C174" s="2" t="s">
        <v>16</v>
      </c>
      <c r="D174" s="2" t="s">
        <v>17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 ht="15" thickBot="1" x14ac:dyDescent="0.35">
      <c r="A175" s="2" t="s">
        <v>69</v>
      </c>
      <c r="B175" s="3" t="s">
        <v>18</v>
      </c>
      <c r="C175" s="2" t="s">
        <v>16</v>
      </c>
      <c r="D175" s="2" t="s">
        <v>17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 ht="15" thickBot="1" x14ac:dyDescent="0.35">
      <c r="A176" s="2" t="s">
        <v>69</v>
      </c>
      <c r="B176" s="3" t="s">
        <v>19</v>
      </c>
      <c r="C176" s="2" t="s">
        <v>16</v>
      </c>
      <c r="D176" s="2" t="s">
        <v>17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 ht="15" thickBot="1" x14ac:dyDescent="0.35">
      <c r="A177" s="2" t="s">
        <v>69</v>
      </c>
      <c r="B177" s="3" t="s">
        <v>20</v>
      </c>
      <c r="C177" s="2" t="s">
        <v>16</v>
      </c>
      <c r="D177" s="2" t="s">
        <v>17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 ht="15" thickBot="1" x14ac:dyDescent="0.35">
      <c r="A178" s="2" t="s">
        <v>70</v>
      </c>
      <c r="B178" s="3" t="s">
        <v>15</v>
      </c>
      <c r="C178" s="2" t="s">
        <v>31</v>
      </c>
      <c r="D178" s="2" t="s">
        <v>25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 ht="15" thickBot="1" x14ac:dyDescent="0.35">
      <c r="A179" s="2" t="s">
        <v>70</v>
      </c>
      <c r="B179" s="3" t="s">
        <v>18</v>
      </c>
      <c r="C179" s="2" t="s">
        <v>31</v>
      </c>
      <c r="D179" s="2" t="s">
        <v>25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 ht="15" thickBot="1" x14ac:dyDescent="0.35">
      <c r="A180" s="2" t="s">
        <v>70</v>
      </c>
      <c r="B180" s="3" t="s">
        <v>19</v>
      </c>
      <c r="C180" s="2" t="s">
        <v>31</v>
      </c>
      <c r="D180" s="2" t="s">
        <v>25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 ht="15" thickBot="1" x14ac:dyDescent="0.35">
      <c r="A181" s="2" t="s">
        <v>70</v>
      </c>
      <c r="B181" s="3" t="s">
        <v>20</v>
      </c>
      <c r="C181" s="2" t="s">
        <v>31</v>
      </c>
      <c r="D181" s="2" t="s">
        <v>25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 ht="15" thickBot="1" x14ac:dyDescent="0.35">
      <c r="A182" s="2" t="s">
        <v>71</v>
      </c>
      <c r="B182" s="3" t="s">
        <v>15</v>
      </c>
      <c r="C182" s="2" t="s">
        <v>31</v>
      </c>
      <c r="D182" s="2" t="s">
        <v>17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 ht="15" thickBot="1" x14ac:dyDescent="0.35">
      <c r="A183" s="2" t="s">
        <v>71</v>
      </c>
      <c r="B183" s="3" t="s">
        <v>18</v>
      </c>
      <c r="C183" s="2" t="s">
        <v>31</v>
      </c>
      <c r="D183" s="2" t="s">
        <v>17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 ht="15" thickBot="1" x14ac:dyDescent="0.35">
      <c r="A184" s="2" t="s">
        <v>71</v>
      </c>
      <c r="B184" s="3" t="s">
        <v>19</v>
      </c>
      <c r="C184" s="2" t="s">
        <v>31</v>
      </c>
      <c r="D184" s="2" t="s">
        <v>17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 ht="15" thickBot="1" x14ac:dyDescent="0.35">
      <c r="A185" s="2" t="s">
        <v>71</v>
      </c>
      <c r="B185" s="3" t="s">
        <v>20</v>
      </c>
      <c r="C185" s="2" t="s">
        <v>31</v>
      </c>
      <c r="D185" s="2" t="s">
        <v>17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 ht="15" thickBot="1" x14ac:dyDescent="0.35">
      <c r="A186" s="2" t="s">
        <v>72</v>
      </c>
      <c r="B186" s="3" t="s">
        <v>15</v>
      </c>
      <c r="C186" s="2" t="s">
        <v>24</v>
      </c>
      <c r="D186" s="2" t="s">
        <v>22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 ht="15" thickBot="1" x14ac:dyDescent="0.35">
      <c r="A187" s="2" t="s">
        <v>72</v>
      </c>
      <c r="B187" s="3" t="s">
        <v>18</v>
      </c>
      <c r="C187" s="2" t="s">
        <v>24</v>
      </c>
      <c r="D187" s="2" t="s">
        <v>22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 ht="15" thickBot="1" x14ac:dyDescent="0.35">
      <c r="A188" s="2" t="s">
        <v>72</v>
      </c>
      <c r="B188" s="3" t="s">
        <v>19</v>
      </c>
      <c r="C188" s="2" t="s">
        <v>24</v>
      </c>
      <c r="D188" s="2" t="s">
        <v>22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 ht="15" thickBot="1" x14ac:dyDescent="0.35">
      <c r="A189" s="2" t="s">
        <v>72</v>
      </c>
      <c r="B189" s="3" t="s">
        <v>20</v>
      </c>
      <c r="C189" s="2" t="s">
        <v>24</v>
      </c>
      <c r="D189" s="2" t="s">
        <v>22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 ht="15" thickBot="1" x14ac:dyDescent="0.35">
      <c r="A190" s="2" t="s">
        <v>73</v>
      </c>
      <c r="B190" s="3" t="s">
        <v>15</v>
      </c>
      <c r="C190" s="2" t="s">
        <v>16</v>
      </c>
      <c r="D190" s="2" t="s">
        <v>22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 ht="15" thickBot="1" x14ac:dyDescent="0.35">
      <c r="A191" s="2" t="s">
        <v>73</v>
      </c>
      <c r="B191" s="3" t="s">
        <v>18</v>
      </c>
      <c r="C191" s="2" t="s">
        <v>16</v>
      </c>
      <c r="D191" s="2" t="s">
        <v>22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 ht="15" thickBot="1" x14ac:dyDescent="0.35">
      <c r="A192" s="2" t="s">
        <v>73</v>
      </c>
      <c r="B192" s="3" t="s">
        <v>19</v>
      </c>
      <c r="C192" s="2" t="s">
        <v>16</v>
      </c>
      <c r="D192" s="2" t="s">
        <v>22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 ht="15" thickBot="1" x14ac:dyDescent="0.35">
      <c r="A193" s="2" t="s">
        <v>73</v>
      </c>
      <c r="B193" s="3" t="s">
        <v>20</v>
      </c>
      <c r="C193" s="2" t="s">
        <v>16</v>
      </c>
      <c r="D193" s="2" t="s">
        <v>22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 ht="15" thickBot="1" x14ac:dyDescent="0.35">
      <c r="A194" s="2" t="s">
        <v>74</v>
      </c>
      <c r="B194" s="3" t="s">
        <v>15</v>
      </c>
      <c r="C194" s="2" t="s">
        <v>31</v>
      </c>
      <c r="D194" s="2" t="s">
        <v>17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 ht="15" thickBot="1" x14ac:dyDescent="0.35">
      <c r="A195" s="2" t="s">
        <v>74</v>
      </c>
      <c r="B195" s="3" t="s">
        <v>18</v>
      </c>
      <c r="C195" s="2" t="s">
        <v>31</v>
      </c>
      <c r="D195" s="2" t="s">
        <v>17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 ht="15" thickBot="1" x14ac:dyDescent="0.35">
      <c r="A196" s="2" t="s">
        <v>74</v>
      </c>
      <c r="B196" s="3" t="s">
        <v>19</v>
      </c>
      <c r="C196" s="2" t="s">
        <v>31</v>
      </c>
      <c r="D196" s="2" t="s">
        <v>17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 ht="15" thickBot="1" x14ac:dyDescent="0.35">
      <c r="A197" s="2" t="s">
        <v>74</v>
      </c>
      <c r="B197" s="3" t="s">
        <v>20</v>
      </c>
      <c r="C197" s="2" t="s">
        <v>31</v>
      </c>
      <c r="D197" s="2" t="s">
        <v>17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2"/>
      <c r="M197" s="3">
        <v>449465.06</v>
      </c>
      <c r="N197" s="3">
        <v>65694.78</v>
      </c>
    </row>
    <row r="198" spans="1:14" ht="15" thickBot="1" x14ac:dyDescent="0.35">
      <c r="A198" s="2" t="s">
        <v>75</v>
      </c>
      <c r="B198" s="3" t="s">
        <v>15</v>
      </c>
      <c r="C198" s="2" t="s">
        <v>24</v>
      </c>
      <c r="D198" s="2" t="s">
        <v>17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 ht="15" thickBot="1" x14ac:dyDescent="0.35">
      <c r="A199" s="2" t="s">
        <v>75</v>
      </c>
      <c r="B199" s="3" t="s">
        <v>18</v>
      </c>
      <c r="C199" s="2" t="s">
        <v>24</v>
      </c>
      <c r="D199" s="2" t="s">
        <v>17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 ht="15" thickBot="1" x14ac:dyDescent="0.35">
      <c r="A200" s="2" t="s">
        <v>75</v>
      </c>
      <c r="B200" s="3" t="s">
        <v>19</v>
      </c>
      <c r="C200" s="2" t="s">
        <v>24</v>
      </c>
      <c r="D200" s="2" t="s">
        <v>17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 ht="15" thickBot="1" x14ac:dyDescent="0.35">
      <c r="A201" s="2" t="s">
        <v>75</v>
      </c>
      <c r="B201" s="3" t="s">
        <v>20</v>
      </c>
      <c r="C201" s="2" t="s">
        <v>24</v>
      </c>
      <c r="D201" s="2" t="s">
        <v>17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 ht="15" thickBot="1" x14ac:dyDescent="0.35">
      <c r="A202" s="2" t="s">
        <v>76</v>
      </c>
      <c r="B202" s="3" t="s">
        <v>15</v>
      </c>
      <c r="C202" s="2" t="s">
        <v>16</v>
      </c>
      <c r="D202" s="2" t="s">
        <v>25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 ht="15" thickBot="1" x14ac:dyDescent="0.35">
      <c r="A203" s="2" t="s">
        <v>76</v>
      </c>
      <c r="B203" s="3" t="s">
        <v>18</v>
      </c>
      <c r="C203" s="2" t="s">
        <v>16</v>
      </c>
      <c r="D203" s="2" t="s">
        <v>25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 ht="15" thickBot="1" x14ac:dyDescent="0.35">
      <c r="A204" s="2" t="s">
        <v>76</v>
      </c>
      <c r="B204" s="3" t="s">
        <v>19</v>
      </c>
      <c r="C204" s="2" t="s">
        <v>16</v>
      </c>
      <c r="D204" s="2" t="s">
        <v>25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 ht="15" thickBot="1" x14ac:dyDescent="0.35">
      <c r="A205" s="2" t="s">
        <v>76</v>
      </c>
      <c r="B205" s="3" t="s">
        <v>20</v>
      </c>
      <c r="C205" s="2" t="s">
        <v>16</v>
      </c>
      <c r="D205" s="2" t="s">
        <v>25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 ht="15" thickBot="1" x14ac:dyDescent="0.35">
      <c r="A206" s="2" t="s">
        <v>77</v>
      </c>
      <c r="B206" s="3" t="s">
        <v>15</v>
      </c>
      <c r="C206" s="2" t="s">
        <v>16</v>
      </c>
      <c r="D206" s="2" t="s">
        <v>32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 ht="15" thickBot="1" x14ac:dyDescent="0.35">
      <c r="A207" s="2" t="s">
        <v>77</v>
      </c>
      <c r="B207" s="3" t="s">
        <v>18</v>
      </c>
      <c r="C207" s="2" t="s">
        <v>16</v>
      </c>
      <c r="D207" s="2" t="s">
        <v>32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 ht="15" thickBot="1" x14ac:dyDescent="0.35">
      <c r="A208" s="2" t="s">
        <v>77</v>
      </c>
      <c r="B208" s="3" t="s">
        <v>19</v>
      </c>
      <c r="C208" s="2" t="s">
        <v>16</v>
      </c>
      <c r="D208" s="2" t="s">
        <v>32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 ht="15" thickBot="1" x14ac:dyDescent="0.35">
      <c r="A209" s="2" t="s">
        <v>77</v>
      </c>
      <c r="B209" s="3" t="s">
        <v>20</v>
      </c>
      <c r="C209" s="2" t="s">
        <v>16</v>
      </c>
      <c r="D209" s="2" t="s">
        <v>32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 ht="15" thickBot="1" x14ac:dyDescent="0.35">
      <c r="A210" s="2" t="s">
        <v>78</v>
      </c>
      <c r="B210" s="3" t="s">
        <v>15</v>
      </c>
      <c r="C210" s="2" t="s">
        <v>16</v>
      </c>
      <c r="D210" s="2" t="s">
        <v>22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 ht="15" thickBot="1" x14ac:dyDescent="0.35">
      <c r="A211" s="2" t="s">
        <v>78</v>
      </c>
      <c r="B211" s="3" t="s">
        <v>18</v>
      </c>
      <c r="C211" s="2" t="s">
        <v>16</v>
      </c>
      <c r="D211" s="2" t="s">
        <v>22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 ht="15" thickBot="1" x14ac:dyDescent="0.35">
      <c r="A212" s="2" t="s">
        <v>78</v>
      </c>
      <c r="B212" s="3" t="s">
        <v>19</v>
      </c>
      <c r="C212" s="2" t="s">
        <v>16</v>
      </c>
      <c r="D212" s="2" t="s">
        <v>22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 ht="15" thickBot="1" x14ac:dyDescent="0.35">
      <c r="A213" s="2" t="s">
        <v>78</v>
      </c>
      <c r="B213" s="3" t="s">
        <v>20</v>
      </c>
      <c r="C213" s="2" t="s">
        <v>16</v>
      </c>
      <c r="D213" s="2" t="s">
        <v>22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 ht="15" thickBot="1" x14ac:dyDescent="0.35">
      <c r="A214" s="2" t="s">
        <v>79</v>
      </c>
      <c r="B214" s="3" t="s">
        <v>15</v>
      </c>
      <c r="C214" s="2" t="s">
        <v>31</v>
      </c>
      <c r="D214" s="2" t="s">
        <v>17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 ht="15" thickBot="1" x14ac:dyDescent="0.35">
      <c r="A215" s="2" t="s">
        <v>79</v>
      </c>
      <c r="B215" s="3" t="s">
        <v>18</v>
      </c>
      <c r="C215" s="2" t="s">
        <v>31</v>
      </c>
      <c r="D215" s="2" t="s">
        <v>17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 ht="15" thickBot="1" x14ac:dyDescent="0.35">
      <c r="A216" s="2" t="s">
        <v>79</v>
      </c>
      <c r="B216" s="3" t="s">
        <v>19</v>
      </c>
      <c r="C216" s="2" t="s">
        <v>31</v>
      </c>
      <c r="D216" s="2" t="s">
        <v>17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 ht="15" thickBot="1" x14ac:dyDescent="0.35">
      <c r="A217" s="2" t="s">
        <v>79</v>
      </c>
      <c r="B217" s="3" t="s">
        <v>20</v>
      </c>
      <c r="C217" s="2" t="s">
        <v>31</v>
      </c>
      <c r="D217" s="2" t="s">
        <v>17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 ht="15" thickBot="1" x14ac:dyDescent="0.35">
      <c r="A218" s="2" t="s">
        <v>80</v>
      </c>
      <c r="B218" s="3" t="s">
        <v>15</v>
      </c>
      <c r="C218" s="2" t="s">
        <v>24</v>
      </c>
      <c r="D218" s="2" t="s">
        <v>25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 ht="15" thickBot="1" x14ac:dyDescent="0.35">
      <c r="A219" s="2" t="s">
        <v>80</v>
      </c>
      <c r="B219" s="3" t="s">
        <v>18</v>
      </c>
      <c r="C219" s="2" t="s">
        <v>24</v>
      </c>
      <c r="D219" s="2" t="s">
        <v>25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 ht="15" thickBot="1" x14ac:dyDescent="0.35">
      <c r="A220" s="2" t="s">
        <v>80</v>
      </c>
      <c r="B220" s="3" t="s">
        <v>19</v>
      </c>
      <c r="C220" s="2" t="s">
        <v>24</v>
      </c>
      <c r="D220" s="2" t="s">
        <v>25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 ht="15" thickBot="1" x14ac:dyDescent="0.35">
      <c r="A221" s="2" t="s">
        <v>80</v>
      </c>
      <c r="B221" s="3" t="s">
        <v>20</v>
      </c>
      <c r="C221" s="2" t="s">
        <v>24</v>
      </c>
      <c r="D221" s="2" t="s">
        <v>25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 ht="15" thickBot="1" x14ac:dyDescent="0.35">
      <c r="A222" s="2" t="s">
        <v>81</v>
      </c>
      <c r="B222" s="3" t="s">
        <v>15</v>
      </c>
      <c r="C222" s="2" t="s">
        <v>16</v>
      </c>
      <c r="D222" s="2" t="s">
        <v>22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 ht="15" thickBot="1" x14ac:dyDescent="0.35">
      <c r="A223" s="2" t="s">
        <v>81</v>
      </c>
      <c r="B223" s="3" t="s">
        <v>18</v>
      </c>
      <c r="C223" s="2" t="s">
        <v>16</v>
      </c>
      <c r="D223" s="2" t="s">
        <v>22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 ht="15" thickBot="1" x14ac:dyDescent="0.35">
      <c r="A224" s="2" t="s">
        <v>81</v>
      </c>
      <c r="B224" s="3" t="s">
        <v>19</v>
      </c>
      <c r="C224" s="2" t="s">
        <v>16</v>
      </c>
      <c r="D224" s="2" t="s">
        <v>22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 ht="15" thickBot="1" x14ac:dyDescent="0.35">
      <c r="A225" s="2" t="s">
        <v>81</v>
      </c>
      <c r="B225" s="3" t="s">
        <v>20</v>
      </c>
      <c r="C225" s="2" t="s">
        <v>16</v>
      </c>
      <c r="D225" s="2" t="s">
        <v>22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 ht="15" thickBot="1" x14ac:dyDescent="0.35">
      <c r="A226" s="2" t="s">
        <v>82</v>
      </c>
      <c r="B226" s="3" t="s">
        <v>15</v>
      </c>
      <c r="C226" s="2" t="s">
        <v>16</v>
      </c>
      <c r="D226" s="2" t="s">
        <v>32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 ht="15" thickBot="1" x14ac:dyDescent="0.35">
      <c r="A227" s="2" t="s">
        <v>82</v>
      </c>
      <c r="B227" s="3" t="s">
        <v>18</v>
      </c>
      <c r="C227" s="2" t="s">
        <v>16</v>
      </c>
      <c r="D227" s="2" t="s">
        <v>32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 ht="15" thickBot="1" x14ac:dyDescent="0.35">
      <c r="A228" s="2" t="s">
        <v>82</v>
      </c>
      <c r="B228" s="3" t="s">
        <v>19</v>
      </c>
      <c r="C228" s="2" t="s">
        <v>16</v>
      </c>
      <c r="D228" s="2" t="s">
        <v>32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 ht="15" thickBot="1" x14ac:dyDescent="0.35">
      <c r="A229" s="2" t="s">
        <v>82</v>
      </c>
      <c r="B229" s="3" t="s">
        <v>20</v>
      </c>
      <c r="C229" s="2" t="s">
        <v>16</v>
      </c>
      <c r="D229" s="2" t="s">
        <v>32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2"/>
      <c r="M229" s="3">
        <v>529598.93999999994</v>
      </c>
      <c r="N229" s="3">
        <v>84334.33</v>
      </c>
    </row>
    <row r="230" spans="1:14" ht="15" thickBot="1" x14ac:dyDescent="0.35">
      <c r="A230" s="2" t="s">
        <v>83</v>
      </c>
      <c r="B230" s="3" t="s">
        <v>15</v>
      </c>
      <c r="C230" s="2" t="s">
        <v>16</v>
      </c>
      <c r="D230" s="2" t="s">
        <v>22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 ht="15" thickBot="1" x14ac:dyDescent="0.35">
      <c r="A231" s="2" t="s">
        <v>83</v>
      </c>
      <c r="B231" s="3" t="s">
        <v>18</v>
      </c>
      <c r="C231" s="2" t="s">
        <v>16</v>
      </c>
      <c r="D231" s="2" t="s">
        <v>22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 ht="15" thickBot="1" x14ac:dyDescent="0.35">
      <c r="A232" s="2" t="s">
        <v>83</v>
      </c>
      <c r="B232" s="3" t="s">
        <v>19</v>
      </c>
      <c r="C232" s="2" t="s">
        <v>16</v>
      </c>
      <c r="D232" s="2" t="s">
        <v>22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 ht="15" thickBot="1" x14ac:dyDescent="0.35">
      <c r="A233" s="2" t="s">
        <v>83</v>
      </c>
      <c r="B233" s="3" t="s">
        <v>20</v>
      </c>
      <c r="C233" s="2" t="s">
        <v>16</v>
      </c>
      <c r="D233" s="2" t="s">
        <v>22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2"/>
      <c r="K233" s="3">
        <v>0</v>
      </c>
      <c r="L233" s="3">
        <v>3.7</v>
      </c>
      <c r="M233" s="3">
        <v>647512.85</v>
      </c>
      <c r="N233" s="3">
        <v>153835.57</v>
      </c>
    </row>
    <row r="234" spans="1:14" ht="15" thickBot="1" x14ac:dyDescent="0.35">
      <c r="A234" s="2" t="s">
        <v>84</v>
      </c>
      <c r="B234" s="3" t="s">
        <v>15</v>
      </c>
      <c r="C234" s="2" t="s">
        <v>31</v>
      </c>
      <c r="D234" s="2" t="s">
        <v>17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 ht="15" thickBot="1" x14ac:dyDescent="0.35">
      <c r="A235" s="2" t="s">
        <v>84</v>
      </c>
      <c r="B235" s="3" t="s">
        <v>18</v>
      </c>
      <c r="C235" s="2" t="s">
        <v>31</v>
      </c>
      <c r="D235" s="2" t="s">
        <v>17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 ht="15" thickBot="1" x14ac:dyDescent="0.35">
      <c r="A236" s="2" t="s">
        <v>84</v>
      </c>
      <c r="B236" s="3" t="s">
        <v>19</v>
      </c>
      <c r="C236" s="2" t="s">
        <v>31</v>
      </c>
      <c r="D236" s="2" t="s">
        <v>17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 ht="15" thickBot="1" x14ac:dyDescent="0.35">
      <c r="A237" s="2" t="s">
        <v>84</v>
      </c>
      <c r="B237" s="3" t="s">
        <v>20</v>
      </c>
      <c r="C237" s="2" t="s">
        <v>31</v>
      </c>
      <c r="D237" s="2" t="s">
        <v>17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 ht="15" thickBot="1" x14ac:dyDescent="0.35">
      <c r="A238" s="2" t="s">
        <v>85</v>
      </c>
      <c r="B238" s="3" t="s">
        <v>15</v>
      </c>
      <c r="C238" s="2" t="s">
        <v>31</v>
      </c>
      <c r="D238" s="2" t="s">
        <v>32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 ht="15" thickBot="1" x14ac:dyDescent="0.35">
      <c r="A239" s="2" t="s">
        <v>85</v>
      </c>
      <c r="B239" s="3" t="s">
        <v>18</v>
      </c>
      <c r="C239" s="2" t="s">
        <v>31</v>
      </c>
      <c r="D239" s="2" t="s">
        <v>32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 ht="15" thickBot="1" x14ac:dyDescent="0.35">
      <c r="A240" s="2" t="s">
        <v>85</v>
      </c>
      <c r="B240" s="3" t="s">
        <v>19</v>
      </c>
      <c r="C240" s="2" t="s">
        <v>31</v>
      </c>
      <c r="D240" s="2" t="s">
        <v>32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 ht="15" thickBot="1" x14ac:dyDescent="0.35">
      <c r="A241" s="2" t="s">
        <v>85</v>
      </c>
      <c r="B241" s="3" t="s">
        <v>20</v>
      </c>
      <c r="C241" s="2" t="s">
        <v>31</v>
      </c>
      <c r="D241" s="2" t="s">
        <v>32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 ht="15" thickBot="1" x14ac:dyDescent="0.35">
      <c r="A242" s="2" t="s">
        <v>86</v>
      </c>
      <c r="B242" s="3" t="s">
        <v>15</v>
      </c>
      <c r="C242" s="2" t="s">
        <v>28</v>
      </c>
      <c r="D242" s="2" t="s">
        <v>25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 ht="15" thickBot="1" x14ac:dyDescent="0.35">
      <c r="A243" s="2" t="s">
        <v>86</v>
      </c>
      <c r="B243" s="3" t="s">
        <v>18</v>
      </c>
      <c r="C243" s="2" t="s">
        <v>28</v>
      </c>
      <c r="D243" s="2" t="s">
        <v>25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 ht="15" thickBot="1" x14ac:dyDescent="0.35">
      <c r="A244" s="2" t="s">
        <v>86</v>
      </c>
      <c r="B244" s="3" t="s">
        <v>19</v>
      </c>
      <c r="C244" s="2" t="s">
        <v>28</v>
      </c>
      <c r="D244" s="2" t="s">
        <v>25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 ht="15" thickBot="1" x14ac:dyDescent="0.35">
      <c r="A245" s="2" t="s">
        <v>86</v>
      </c>
      <c r="B245" s="3" t="s">
        <v>20</v>
      </c>
      <c r="C245" s="2" t="s">
        <v>28</v>
      </c>
      <c r="D245" s="2" t="s">
        <v>25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 ht="15" thickBot="1" x14ac:dyDescent="0.35">
      <c r="A246" s="2" t="s">
        <v>87</v>
      </c>
      <c r="B246" s="3" t="s">
        <v>15</v>
      </c>
      <c r="C246" s="2" t="s">
        <v>16</v>
      </c>
      <c r="D246" s="2" t="s">
        <v>22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 ht="15" thickBot="1" x14ac:dyDescent="0.35">
      <c r="A247" s="2" t="s">
        <v>87</v>
      </c>
      <c r="B247" s="3" t="s">
        <v>18</v>
      </c>
      <c r="C247" s="2" t="s">
        <v>16</v>
      </c>
      <c r="D247" s="2" t="s">
        <v>22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 ht="15" thickBot="1" x14ac:dyDescent="0.35">
      <c r="A248" s="2" t="s">
        <v>87</v>
      </c>
      <c r="B248" s="3" t="s">
        <v>19</v>
      </c>
      <c r="C248" s="2" t="s">
        <v>16</v>
      </c>
      <c r="D248" s="2" t="s">
        <v>22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 ht="15" thickBot="1" x14ac:dyDescent="0.35">
      <c r="A249" s="2" t="s">
        <v>87</v>
      </c>
      <c r="B249" s="3" t="s">
        <v>20</v>
      </c>
      <c r="C249" s="2" t="s">
        <v>16</v>
      </c>
      <c r="D249" s="2" t="s">
        <v>22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 ht="15" thickBot="1" x14ac:dyDescent="0.35">
      <c r="A250" s="2" t="s">
        <v>88</v>
      </c>
      <c r="B250" s="3" t="s">
        <v>15</v>
      </c>
      <c r="C250" s="2" t="s">
        <v>24</v>
      </c>
      <c r="D250" s="2" t="s">
        <v>22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2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 ht="15" thickBot="1" x14ac:dyDescent="0.35">
      <c r="A251" s="2" t="s">
        <v>88</v>
      </c>
      <c r="B251" s="3" t="s">
        <v>18</v>
      </c>
      <c r="C251" s="2" t="s">
        <v>24</v>
      </c>
      <c r="D251" s="2" t="s">
        <v>22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 ht="15" thickBot="1" x14ac:dyDescent="0.35">
      <c r="A252" s="2" t="s">
        <v>88</v>
      </c>
      <c r="B252" s="3" t="s">
        <v>19</v>
      </c>
      <c r="C252" s="2" t="s">
        <v>24</v>
      </c>
      <c r="D252" s="2" t="s">
        <v>22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 ht="15" thickBot="1" x14ac:dyDescent="0.35">
      <c r="A253" s="2" t="s">
        <v>88</v>
      </c>
      <c r="B253" s="3" t="s">
        <v>20</v>
      </c>
      <c r="C253" s="2" t="s">
        <v>24</v>
      </c>
      <c r="D253" s="2" t="s">
        <v>22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 ht="15" thickBot="1" x14ac:dyDescent="0.35">
      <c r="A254" s="2" t="s">
        <v>89</v>
      </c>
      <c r="B254" s="3" t="s">
        <v>15</v>
      </c>
      <c r="C254" s="2" t="s">
        <v>28</v>
      </c>
      <c r="D254" s="2" t="s">
        <v>25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 ht="15" thickBot="1" x14ac:dyDescent="0.35">
      <c r="A255" s="2" t="s">
        <v>89</v>
      </c>
      <c r="B255" s="3" t="s">
        <v>18</v>
      </c>
      <c r="C255" s="2" t="s">
        <v>28</v>
      </c>
      <c r="D255" s="2" t="s">
        <v>25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 ht="15" thickBot="1" x14ac:dyDescent="0.35">
      <c r="A256" s="2" t="s">
        <v>89</v>
      </c>
      <c r="B256" s="3" t="s">
        <v>19</v>
      </c>
      <c r="C256" s="2" t="s">
        <v>28</v>
      </c>
      <c r="D256" s="2" t="s">
        <v>25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 ht="15" thickBot="1" x14ac:dyDescent="0.35">
      <c r="A257" s="2" t="s">
        <v>89</v>
      </c>
      <c r="B257" s="3" t="s">
        <v>20</v>
      </c>
      <c r="C257" s="2" t="s">
        <v>28</v>
      </c>
      <c r="D257" s="2" t="s">
        <v>25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 ht="15" thickBot="1" x14ac:dyDescent="0.35">
      <c r="A258" s="2" t="s">
        <v>90</v>
      </c>
      <c r="B258" s="3" t="s">
        <v>15</v>
      </c>
      <c r="C258" s="2" t="s">
        <v>28</v>
      </c>
      <c r="D258" s="2" t="s">
        <v>32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 ht="15" thickBot="1" x14ac:dyDescent="0.35">
      <c r="A259" s="2" t="s">
        <v>90</v>
      </c>
      <c r="B259" s="3" t="s">
        <v>18</v>
      </c>
      <c r="C259" s="2" t="s">
        <v>28</v>
      </c>
      <c r="D259" s="2" t="s">
        <v>32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 ht="15" thickBot="1" x14ac:dyDescent="0.35">
      <c r="A260" s="2" t="s">
        <v>90</v>
      </c>
      <c r="B260" s="3" t="s">
        <v>19</v>
      </c>
      <c r="C260" s="2" t="s">
        <v>28</v>
      </c>
      <c r="D260" s="2" t="s">
        <v>32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 ht="15" thickBot="1" x14ac:dyDescent="0.35">
      <c r="A261" s="2" t="s">
        <v>90</v>
      </c>
      <c r="B261" s="3" t="s">
        <v>20</v>
      </c>
      <c r="C261" s="2" t="s">
        <v>28</v>
      </c>
      <c r="D261" s="2" t="s">
        <v>32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 ht="15" thickBot="1" x14ac:dyDescent="0.35">
      <c r="A262" s="2" t="s">
        <v>91</v>
      </c>
      <c r="B262" s="3" t="s">
        <v>15</v>
      </c>
      <c r="C262" s="2" t="s">
        <v>31</v>
      </c>
      <c r="D262" s="2" t="s">
        <v>22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 ht="15" thickBot="1" x14ac:dyDescent="0.35">
      <c r="A263" s="2" t="s">
        <v>91</v>
      </c>
      <c r="B263" s="3" t="s">
        <v>18</v>
      </c>
      <c r="C263" s="2" t="s">
        <v>31</v>
      </c>
      <c r="D263" s="2" t="s">
        <v>22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2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 ht="15" thickBot="1" x14ac:dyDescent="0.35">
      <c r="A264" s="2" t="s">
        <v>91</v>
      </c>
      <c r="B264" s="3" t="s">
        <v>19</v>
      </c>
      <c r="C264" s="2" t="s">
        <v>31</v>
      </c>
      <c r="D264" s="2" t="s">
        <v>22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 ht="15" thickBot="1" x14ac:dyDescent="0.35">
      <c r="A265" s="2" t="s">
        <v>91</v>
      </c>
      <c r="B265" s="3" t="s">
        <v>20</v>
      </c>
      <c r="C265" s="2" t="s">
        <v>31</v>
      </c>
      <c r="D265" s="2" t="s">
        <v>22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 ht="15" thickBot="1" x14ac:dyDescent="0.35">
      <c r="A266" s="2" t="s">
        <v>92</v>
      </c>
      <c r="B266" s="3" t="s">
        <v>15</v>
      </c>
      <c r="C266" s="2" t="s">
        <v>16</v>
      </c>
      <c r="D266" s="2" t="s">
        <v>22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 ht="15" thickBot="1" x14ac:dyDescent="0.35">
      <c r="A267" s="2" t="s">
        <v>92</v>
      </c>
      <c r="B267" s="3" t="s">
        <v>18</v>
      </c>
      <c r="C267" s="2" t="s">
        <v>16</v>
      </c>
      <c r="D267" s="2" t="s">
        <v>22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 ht="15" thickBot="1" x14ac:dyDescent="0.35">
      <c r="A268" s="2" t="s">
        <v>92</v>
      </c>
      <c r="B268" s="3" t="s">
        <v>19</v>
      </c>
      <c r="C268" s="2" t="s">
        <v>16</v>
      </c>
      <c r="D268" s="2" t="s">
        <v>22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 ht="15" thickBot="1" x14ac:dyDescent="0.35">
      <c r="A269" s="2" t="s">
        <v>92</v>
      </c>
      <c r="B269" s="3" t="s">
        <v>20</v>
      </c>
      <c r="C269" s="2" t="s">
        <v>16</v>
      </c>
      <c r="D269" s="2" t="s">
        <v>22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 ht="15" thickBot="1" x14ac:dyDescent="0.35">
      <c r="A270" s="2" t="s">
        <v>93</v>
      </c>
      <c r="B270" s="3" t="s">
        <v>15</v>
      </c>
      <c r="C270" s="2" t="s">
        <v>16</v>
      </c>
      <c r="D270" s="2" t="s">
        <v>32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 ht="15" thickBot="1" x14ac:dyDescent="0.35">
      <c r="A271" s="2" t="s">
        <v>93</v>
      </c>
      <c r="B271" s="3" t="s">
        <v>18</v>
      </c>
      <c r="C271" s="2" t="s">
        <v>16</v>
      </c>
      <c r="D271" s="2" t="s">
        <v>32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 ht="15" thickBot="1" x14ac:dyDescent="0.35">
      <c r="A272" s="2" t="s">
        <v>93</v>
      </c>
      <c r="B272" s="3" t="s">
        <v>19</v>
      </c>
      <c r="C272" s="2" t="s">
        <v>16</v>
      </c>
      <c r="D272" s="2" t="s">
        <v>32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 ht="15" thickBot="1" x14ac:dyDescent="0.35">
      <c r="A273" s="2" t="s">
        <v>93</v>
      </c>
      <c r="B273" s="3" t="s">
        <v>20</v>
      </c>
      <c r="C273" s="2" t="s">
        <v>16</v>
      </c>
      <c r="D273" s="2" t="s">
        <v>32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 ht="15" thickBot="1" x14ac:dyDescent="0.35">
      <c r="A274" s="2" t="s">
        <v>94</v>
      </c>
      <c r="B274" s="3" t="s">
        <v>15</v>
      </c>
      <c r="C274" s="2" t="s">
        <v>31</v>
      </c>
      <c r="D274" s="2" t="s">
        <v>22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 ht="15" thickBot="1" x14ac:dyDescent="0.35">
      <c r="A275" s="2" t="s">
        <v>94</v>
      </c>
      <c r="B275" s="3" t="s">
        <v>18</v>
      </c>
      <c r="C275" s="2" t="s">
        <v>31</v>
      </c>
      <c r="D275" s="2" t="s">
        <v>22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 ht="15" thickBot="1" x14ac:dyDescent="0.35">
      <c r="A276" s="2" t="s">
        <v>94</v>
      </c>
      <c r="B276" s="3" t="s">
        <v>19</v>
      </c>
      <c r="C276" s="2" t="s">
        <v>31</v>
      </c>
      <c r="D276" s="2" t="s">
        <v>22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 ht="15" thickBot="1" x14ac:dyDescent="0.35">
      <c r="A277" s="2" t="s">
        <v>94</v>
      </c>
      <c r="B277" s="3" t="s">
        <v>20</v>
      </c>
      <c r="C277" s="2" t="s">
        <v>31</v>
      </c>
      <c r="D277" s="2" t="s">
        <v>22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 ht="15" thickBot="1" x14ac:dyDescent="0.35">
      <c r="A278" s="2" t="s">
        <v>95</v>
      </c>
      <c r="B278" s="3" t="s">
        <v>15</v>
      </c>
      <c r="C278" s="2" t="s">
        <v>28</v>
      </c>
      <c r="D278" s="2" t="s">
        <v>17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 ht="15" thickBot="1" x14ac:dyDescent="0.35">
      <c r="A279" s="2" t="s">
        <v>95</v>
      </c>
      <c r="B279" s="3" t="s">
        <v>18</v>
      </c>
      <c r="C279" s="2" t="s">
        <v>28</v>
      </c>
      <c r="D279" s="2" t="s">
        <v>17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 ht="15" thickBot="1" x14ac:dyDescent="0.35">
      <c r="A280" s="2" t="s">
        <v>95</v>
      </c>
      <c r="B280" s="3" t="s">
        <v>19</v>
      </c>
      <c r="C280" s="2" t="s">
        <v>28</v>
      </c>
      <c r="D280" s="2" t="s">
        <v>17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 ht="15" thickBot="1" x14ac:dyDescent="0.35">
      <c r="A281" s="2" t="s">
        <v>95</v>
      </c>
      <c r="B281" s="3" t="s">
        <v>20</v>
      </c>
      <c r="C281" s="2" t="s">
        <v>28</v>
      </c>
      <c r="D281" s="2" t="s">
        <v>17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 ht="15" thickBot="1" x14ac:dyDescent="0.35">
      <c r="A282" s="2" t="s">
        <v>96</v>
      </c>
      <c r="B282" s="3" t="s">
        <v>15</v>
      </c>
      <c r="C282" s="2" t="s">
        <v>28</v>
      </c>
      <c r="D282" s="2" t="s">
        <v>22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 ht="15" thickBot="1" x14ac:dyDescent="0.35">
      <c r="A283" s="2" t="s">
        <v>96</v>
      </c>
      <c r="B283" s="3" t="s">
        <v>18</v>
      </c>
      <c r="C283" s="2" t="s">
        <v>28</v>
      </c>
      <c r="D283" s="2" t="s">
        <v>22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 ht="15" thickBot="1" x14ac:dyDescent="0.35">
      <c r="A284" s="2" t="s">
        <v>96</v>
      </c>
      <c r="B284" s="3" t="s">
        <v>19</v>
      </c>
      <c r="C284" s="2" t="s">
        <v>28</v>
      </c>
      <c r="D284" s="2" t="s">
        <v>22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 ht="15" thickBot="1" x14ac:dyDescent="0.35">
      <c r="A285" s="2" t="s">
        <v>96</v>
      </c>
      <c r="B285" s="3" t="s">
        <v>20</v>
      </c>
      <c r="C285" s="2" t="s">
        <v>28</v>
      </c>
      <c r="D285" s="2" t="s">
        <v>22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 ht="15" thickBot="1" x14ac:dyDescent="0.35">
      <c r="A286" s="2" t="s">
        <v>97</v>
      </c>
      <c r="B286" s="3" t="s">
        <v>15</v>
      </c>
      <c r="C286" s="2" t="s">
        <v>31</v>
      </c>
      <c r="D286" s="2" t="s">
        <v>17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 ht="15" thickBot="1" x14ac:dyDescent="0.35">
      <c r="A287" s="2" t="s">
        <v>97</v>
      </c>
      <c r="B287" s="3" t="s">
        <v>18</v>
      </c>
      <c r="C287" s="2" t="s">
        <v>31</v>
      </c>
      <c r="D287" s="2" t="s">
        <v>17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 ht="15" thickBot="1" x14ac:dyDescent="0.35">
      <c r="A288" s="2" t="s">
        <v>97</v>
      </c>
      <c r="B288" s="3" t="s">
        <v>19</v>
      </c>
      <c r="C288" s="2" t="s">
        <v>31</v>
      </c>
      <c r="D288" s="2" t="s">
        <v>17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 ht="15" thickBot="1" x14ac:dyDescent="0.35">
      <c r="A289" s="2" t="s">
        <v>97</v>
      </c>
      <c r="B289" s="3" t="s">
        <v>20</v>
      </c>
      <c r="C289" s="2" t="s">
        <v>31</v>
      </c>
      <c r="D289" s="2" t="s">
        <v>17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 ht="15" thickBot="1" x14ac:dyDescent="0.35">
      <c r="A290" s="2" t="s">
        <v>98</v>
      </c>
      <c r="B290" s="3" t="s">
        <v>15</v>
      </c>
      <c r="C290" s="2" t="s">
        <v>16</v>
      </c>
      <c r="D290" s="2" t="s">
        <v>17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 ht="15" thickBot="1" x14ac:dyDescent="0.35">
      <c r="A291" s="2" t="s">
        <v>98</v>
      </c>
      <c r="B291" s="3" t="s">
        <v>18</v>
      </c>
      <c r="C291" s="2" t="s">
        <v>16</v>
      </c>
      <c r="D291" s="2" t="s">
        <v>17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 ht="15" thickBot="1" x14ac:dyDescent="0.35">
      <c r="A292" s="2" t="s">
        <v>98</v>
      </c>
      <c r="B292" s="3" t="s">
        <v>19</v>
      </c>
      <c r="C292" s="2" t="s">
        <v>16</v>
      </c>
      <c r="D292" s="2" t="s">
        <v>17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 ht="15" thickBot="1" x14ac:dyDescent="0.35">
      <c r="A293" s="2" t="s">
        <v>98</v>
      </c>
      <c r="B293" s="3" t="s">
        <v>20</v>
      </c>
      <c r="C293" s="2" t="s">
        <v>16</v>
      </c>
      <c r="D293" s="2" t="s">
        <v>17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 ht="15" thickBot="1" x14ac:dyDescent="0.35">
      <c r="A294" s="2" t="s">
        <v>99</v>
      </c>
      <c r="B294" s="3" t="s">
        <v>15</v>
      </c>
      <c r="C294" s="2" t="s">
        <v>31</v>
      </c>
      <c r="D294" s="2" t="s">
        <v>22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 ht="15" thickBot="1" x14ac:dyDescent="0.35">
      <c r="A295" s="2" t="s">
        <v>99</v>
      </c>
      <c r="B295" s="3" t="s">
        <v>18</v>
      </c>
      <c r="C295" s="2" t="s">
        <v>31</v>
      </c>
      <c r="D295" s="2" t="s">
        <v>22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 ht="15" thickBot="1" x14ac:dyDescent="0.35">
      <c r="A296" s="2" t="s">
        <v>99</v>
      </c>
      <c r="B296" s="3" t="s">
        <v>19</v>
      </c>
      <c r="C296" s="2" t="s">
        <v>31</v>
      </c>
      <c r="D296" s="2" t="s">
        <v>22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 ht="15" thickBot="1" x14ac:dyDescent="0.35">
      <c r="A297" s="2" t="s">
        <v>99</v>
      </c>
      <c r="B297" s="3" t="s">
        <v>20</v>
      </c>
      <c r="C297" s="2" t="s">
        <v>31</v>
      </c>
      <c r="D297" s="2" t="s">
        <v>22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 ht="15" thickBot="1" x14ac:dyDescent="0.35">
      <c r="A298" s="2" t="s">
        <v>100</v>
      </c>
      <c r="B298" s="3" t="s">
        <v>15</v>
      </c>
      <c r="C298" s="2" t="s">
        <v>31</v>
      </c>
      <c r="D298" s="2" t="s">
        <v>22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 ht="15" thickBot="1" x14ac:dyDescent="0.35">
      <c r="A299" s="2" t="s">
        <v>100</v>
      </c>
      <c r="B299" s="3" t="s">
        <v>18</v>
      </c>
      <c r="C299" s="2" t="s">
        <v>31</v>
      </c>
      <c r="D299" s="2" t="s">
        <v>22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 ht="15" thickBot="1" x14ac:dyDescent="0.35">
      <c r="A300" s="2" t="s">
        <v>100</v>
      </c>
      <c r="B300" s="3" t="s">
        <v>19</v>
      </c>
      <c r="C300" s="2" t="s">
        <v>31</v>
      </c>
      <c r="D300" s="2" t="s">
        <v>22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 ht="15" thickBot="1" x14ac:dyDescent="0.35">
      <c r="A301" s="2" t="s">
        <v>100</v>
      </c>
      <c r="B301" s="3" t="s">
        <v>20</v>
      </c>
      <c r="C301" s="2" t="s">
        <v>31</v>
      </c>
      <c r="D301" s="2" t="s">
        <v>22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 ht="15" thickBot="1" x14ac:dyDescent="0.35">
      <c r="A302" s="2" t="s">
        <v>101</v>
      </c>
      <c r="B302" s="3" t="s">
        <v>15</v>
      </c>
      <c r="C302" s="2" t="s">
        <v>24</v>
      </c>
      <c r="D302" s="2" t="s">
        <v>32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 ht="15" thickBot="1" x14ac:dyDescent="0.35">
      <c r="A303" s="2" t="s">
        <v>101</v>
      </c>
      <c r="B303" s="3" t="s">
        <v>18</v>
      </c>
      <c r="C303" s="2" t="s">
        <v>24</v>
      </c>
      <c r="D303" s="2" t="s">
        <v>32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 ht="15" thickBot="1" x14ac:dyDescent="0.35">
      <c r="A304" s="2" t="s">
        <v>101</v>
      </c>
      <c r="B304" s="3" t="s">
        <v>19</v>
      </c>
      <c r="C304" s="2" t="s">
        <v>24</v>
      </c>
      <c r="D304" s="2" t="s">
        <v>32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 ht="15" thickBot="1" x14ac:dyDescent="0.35">
      <c r="A305" s="2" t="s">
        <v>101</v>
      </c>
      <c r="B305" s="3" t="s">
        <v>20</v>
      </c>
      <c r="C305" s="2" t="s">
        <v>24</v>
      </c>
      <c r="D305" s="2" t="s">
        <v>32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 ht="15" thickBot="1" x14ac:dyDescent="0.35">
      <c r="A306" s="2" t="s">
        <v>102</v>
      </c>
      <c r="B306" s="3" t="s">
        <v>15</v>
      </c>
      <c r="C306" s="2" t="s">
        <v>28</v>
      </c>
      <c r="D306" s="2" t="s">
        <v>17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 ht="15" thickBot="1" x14ac:dyDescent="0.35">
      <c r="A307" s="2" t="s">
        <v>102</v>
      </c>
      <c r="B307" s="3" t="s">
        <v>18</v>
      </c>
      <c r="C307" s="2" t="s">
        <v>28</v>
      </c>
      <c r="D307" s="2" t="s">
        <v>17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 ht="15" thickBot="1" x14ac:dyDescent="0.35">
      <c r="A308" s="2" t="s">
        <v>102</v>
      </c>
      <c r="B308" s="3" t="s">
        <v>19</v>
      </c>
      <c r="C308" s="2" t="s">
        <v>28</v>
      </c>
      <c r="D308" s="2" t="s">
        <v>17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 ht="15" thickBot="1" x14ac:dyDescent="0.35">
      <c r="A309" s="2" t="s">
        <v>102</v>
      </c>
      <c r="B309" s="3" t="s">
        <v>20</v>
      </c>
      <c r="C309" s="2" t="s">
        <v>28</v>
      </c>
      <c r="D309" s="2" t="s">
        <v>17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 ht="15" thickBot="1" x14ac:dyDescent="0.35">
      <c r="A310" s="2" t="s">
        <v>103</v>
      </c>
      <c r="B310" s="3" t="s">
        <v>15</v>
      </c>
      <c r="C310" s="2" t="s">
        <v>28</v>
      </c>
      <c r="D310" s="2" t="s">
        <v>22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 ht="15" thickBot="1" x14ac:dyDescent="0.35">
      <c r="A311" s="2" t="s">
        <v>103</v>
      </c>
      <c r="B311" s="3" t="s">
        <v>18</v>
      </c>
      <c r="C311" s="2" t="s">
        <v>28</v>
      </c>
      <c r="D311" s="2" t="s">
        <v>22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 ht="15" thickBot="1" x14ac:dyDescent="0.35">
      <c r="A312" s="2" t="s">
        <v>103</v>
      </c>
      <c r="B312" s="3" t="s">
        <v>19</v>
      </c>
      <c r="C312" s="2" t="s">
        <v>28</v>
      </c>
      <c r="D312" s="2" t="s">
        <v>22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 ht="15" thickBot="1" x14ac:dyDescent="0.35">
      <c r="A313" s="2" t="s">
        <v>103</v>
      </c>
      <c r="B313" s="3" t="s">
        <v>20</v>
      </c>
      <c r="C313" s="2" t="s">
        <v>28</v>
      </c>
      <c r="D313" s="2" t="s">
        <v>22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2"/>
      <c r="M313" s="3">
        <v>771129.07</v>
      </c>
      <c r="N313" s="3">
        <v>116851.13</v>
      </c>
    </row>
    <row r="314" spans="1:14" ht="15" thickBot="1" x14ac:dyDescent="0.35">
      <c r="A314" s="2" t="s">
        <v>104</v>
      </c>
      <c r="B314" s="3" t="s">
        <v>15</v>
      </c>
      <c r="C314" s="2" t="s">
        <v>24</v>
      </c>
      <c r="D314" s="2" t="s">
        <v>17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 ht="15" thickBot="1" x14ac:dyDescent="0.35">
      <c r="A315" s="2" t="s">
        <v>104</v>
      </c>
      <c r="B315" s="3" t="s">
        <v>18</v>
      </c>
      <c r="C315" s="2" t="s">
        <v>24</v>
      </c>
      <c r="D315" s="2" t="s">
        <v>17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2"/>
      <c r="M315" s="3">
        <v>688368.46</v>
      </c>
      <c r="N315" s="3">
        <v>93588.42</v>
      </c>
    </row>
    <row r="316" spans="1:14" ht="15" thickBot="1" x14ac:dyDescent="0.35">
      <c r="A316" s="2" t="s">
        <v>104</v>
      </c>
      <c r="B316" s="3" t="s">
        <v>19</v>
      </c>
      <c r="C316" s="2" t="s">
        <v>24</v>
      </c>
      <c r="D316" s="2" t="s">
        <v>17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 ht="15" thickBot="1" x14ac:dyDescent="0.35">
      <c r="A317" s="2" t="s">
        <v>104</v>
      </c>
      <c r="B317" s="3" t="s">
        <v>20</v>
      </c>
      <c r="C317" s="2" t="s">
        <v>24</v>
      </c>
      <c r="D317" s="2" t="s">
        <v>17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 ht="15" thickBot="1" x14ac:dyDescent="0.35">
      <c r="A318" s="2" t="s">
        <v>105</v>
      </c>
      <c r="B318" s="3" t="s">
        <v>15</v>
      </c>
      <c r="C318" s="2" t="s">
        <v>16</v>
      </c>
      <c r="D318" s="2" t="s">
        <v>17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 ht="15" thickBot="1" x14ac:dyDescent="0.35">
      <c r="A319" s="2" t="s">
        <v>105</v>
      </c>
      <c r="B319" s="3" t="s">
        <v>18</v>
      </c>
      <c r="C319" s="2" t="s">
        <v>16</v>
      </c>
      <c r="D319" s="2" t="s">
        <v>17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 ht="15" thickBot="1" x14ac:dyDescent="0.35">
      <c r="A320" s="2" t="s">
        <v>105</v>
      </c>
      <c r="B320" s="3" t="s">
        <v>19</v>
      </c>
      <c r="C320" s="2" t="s">
        <v>16</v>
      </c>
      <c r="D320" s="2" t="s">
        <v>17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 ht="15" thickBot="1" x14ac:dyDescent="0.35">
      <c r="A321" s="2" t="s">
        <v>105</v>
      </c>
      <c r="B321" s="3" t="s">
        <v>20</v>
      </c>
      <c r="C321" s="2" t="s">
        <v>16</v>
      </c>
      <c r="D321" s="2" t="s">
        <v>17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workbookViewId="0">
      <selection activeCell="P3" sqref="P3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33203125" bestFit="1" customWidth="1"/>
    <col min="4" max="4" width="10" bestFit="1" customWidth="1"/>
    <col min="5" max="5" width="15.77734375" bestFit="1" customWidth="1"/>
    <col min="6" max="6" width="7.109375" bestFit="1" customWidth="1"/>
    <col min="7" max="7" width="16" bestFit="1" customWidth="1"/>
    <col min="8" max="8" width="10.6640625" bestFit="1" customWidth="1"/>
    <col min="9" max="9" width="23.109375" bestFit="1" customWidth="1"/>
    <col min="10" max="10" width="22.33203125" bestFit="1" customWidth="1"/>
    <col min="11" max="11" width="11.33203125" bestFit="1" customWidth="1"/>
    <col min="12" max="12" width="14.88671875" bestFit="1" customWidth="1"/>
    <col min="13" max="13" width="13.21875" bestFit="1" customWidth="1"/>
    <col min="14" max="14" width="13.8867187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5" t="s">
        <v>14</v>
      </c>
      <c r="B2" s="6">
        <v>45658</v>
      </c>
      <c r="C2" s="5" t="s">
        <v>16</v>
      </c>
      <c r="D2" s="5" t="s">
        <v>17</v>
      </c>
      <c r="E2" s="5">
        <v>70389.11</v>
      </c>
      <c r="F2" s="5">
        <v>8302</v>
      </c>
      <c r="G2" s="5">
        <v>4.2000000000000003E-2</v>
      </c>
      <c r="H2" s="5">
        <v>17</v>
      </c>
      <c r="I2" s="5">
        <v>75</v>
      </c>
      <c r="J2" s="5">
        <v>5.28</v>
      </c>
      <c r="K2" s="5">
        <v>1</v>
      </c>
      <c r="L2" s="5">
        <v>3.1</v>
      </c>
      <c r="M2" s="5">
        <v>658832.62</v>
      </c>
      <c r="N2" s="5">
        <v>84349.93</v>
      </c>
    </row>
    <row r="3" spans="1:14" x14ac:dyDescent="0.3">
      <c r="A3" s="5" t="s">
        <v>14</v>
      </c>
      <c r="B3" s="6">
        <v>45689</v>
      </c>
      <c r="C3" s="5" t="s">
        <v>16</v>
      </c>
      <c r="D3" s="5" t="s">
        <v>17</v>
      </c>
      <c r="E3" s="5">
        <v>43827.89</v>
      </c>
      <c r="F3" s="5">
        <v>8487</v>
      </c>
      <c r="G3" s="5">
        <v>0.16800000000000001</v>
      </c>
      <c r="H3" s="5">
        <v>23</v>
      </c>
      <c r="I3" s="5">
        <v>84.4</v>
      </c>
      <c r="J3" s="5">
        <v>4.3099999999999996</v>
      </c>
      <c r="K3" s="5">
        <v>0</v>
      </c>
      <c r="L3" s="5">
        <v>2.8</v>
      </c>
      <c r="M3" s="5">
        <v>634436</v>
      </c>
      <c r="N3" s="5">
        <v>106130.54</v>
      </c>
    </row>
    <row r="4" spans="1:14" x14ac:dyDescent="0.3">
      <c r="A4" s="5" t="s">
        <v>14</v>
      </c>
      <c r="B4" s="6">
        <v>45717</v>
      </c>
      <c r="C4" s="5" t="s">
        <v>16</v>
      </c>
      <c r="D4" s="5" t="s">
        <v>17</v>
      </c>
      <c r="E4" s="5">
        <v>59921.75</v>
      </c>
      <c r="F4" s="5">
        <v>9113</v>
      </c>
      <c r="G4" s="5">
        <v>0.13300000000000001</v>
      </c>
      <c r="H4" s="5">
        <v>20</v>
      </c>
      <c r="I4" s="5">
        <v>88</v>
      </c>
      <c r="J4" s="5">
        <v>12</v>
      </c>
      <c r="K4" s="5">
        <v>0</v>
      </c>
      <c r="L4" s="5">
        <v>3.2</v>
      </c>
      <c r="M4" s="5">
        <v>678722.06</v>
      </c>
      <c r="N4" s="5">
        <v>101883.86</v>
      </c>
    </row>
    <row r="5" spans="1:14" x14ac:dyDescent="0.3">
      <c r="A5" s="5" t="s">
        <v>14</v>
      </c>
      <c r="B5" s="6">
        <v>45748</v>
      </c>
      <c r="C5" s="5" t="s">
        <v>16</v>
      </c>
      <c r="D5" s="5" t="s">
        <v>17</v>
      </c>
      <c r="E5" s="5">
        <v>56856.63</v>
      </c>
      <c r="F5" s="5">
        <v>9431</v>
      </c>
      <c r="G5" s="5">
        <v>0.14199999999999999</v>
      </c>
      <c r="H5" s="5">
        <v>23</v>
      </c>
      <c r="I5" s="5">
        <v>86.9</v>
      </c>
      <c r="J5" s="5">
        <v>4.97</v>
      </c>
      <c r="K5" s="5">
        <v>0</v>
      </c>
      <c r="L5" s="5">
        <v>3.4</v>
      </c>
      <c r="M5" s="5">
        <v>658920.30000000005</v>
      </c>
      <c r="N5" s="5">
        <v>97910.37</v>
      </c>
    </row>
    <row r="6" spans="1:14" x14ac:dyDescent="0.3">
      <c r="A6" s="5" t="s">
        <v>21</v>
      </c>
      <c r="B6" s="6">
        <v>45658</v>
      </c>
      <c r="C6" s="5" t="s">
        <v>16</v>
      </c>
      <c r="D6" s="5" t="s">
        <v>22</v>
      </c>
      <c r="E6" s="5">
        <v>48412.639999999999</v>
      </c>
      <c r="F6" s="5">
        <v>9545</v>
      </c>
      <c r="G6" s="5">
        <v>0.23100000000000001</v>
      </c>
      <c r="H6" s="5">
        <v>21</v>
      </c>
      <c r="I6" s="5">
        <v>97.6</v>
      </c>
      <c r="J6" s="5">
        <v>6.94</v>
      </c>
      <c r="K6" s="5">
        <v>1</v>
      </c>
      <c r="L6" s="5">
        <v>4.2</v>
      </c>
      <c r="M6" s="5">
        <v>741341.44</v>
      </c>
      <c r="N6" s="5">
        <v>119208.17</v>
      </c>
    </row>
    <row r="7" spans="1:14" x14ac:dyDescent="0.3">
      <c r="A7" s="5" t="s">
        <v>21</v>
      </c>
      <c r="B7" s="6">
        <v>45689</v>
      </c>
      <c r="C7" s="5" t="s">
        <v>16</v>
      </c>
      <c r="D7" s="5" t="s">
        <v>22</v>
      </c>
      <c r="E7" s="5">
        <v>64811.21</v>
      </c>
      <c r="F7" s="5">
        <v>9792</v>
      </c>
      <c r="G7" s="5">
        <v>0.112</v>
      </c>
      <c r="H7" s="5">
        <v>20</v>
      </c>
      <c r="I7" s="5">
        <v>84.2</v>
      </c>
      <c r="J7" s="5">
        <v>2.88</v>
      </c>
      <c r="K7" s="5">
        <v>0</v>
      </c>
      <c r="L7" s="5">
        <v>4.2</v>
      </c>
      <c r="M7" s="5">
        <v>761835.34</v>
      </c>
      <c r="N7" s="5">
        <v>149602.23000000001</v>
      </c>
    </row>
    <row r="8" spans="1:14" x14ac:dyDescent="0.3">
      <c r="A8" s="5" t="s">
        <v>21</v>
      </c>
      <c r="B8" s="6">
        <v>45717</v>
      </c>
      <c r="C8" s="5" t="s">
        <v>16</v>
      </c>
      <c r="D8" s="5" t="s">
        <v>22</v>
      </c>
      <c r="E8" s="5">
        <v>46213.45</v>
      </c>
      <c r="F8" s="5">
        <v>10616</v>
      </c>
      <c r="G8" s="5">
        <v>0.122</v>
      </c>
      <c r="H8" s="5">
        <v>22</v>
      </c>
      <c r="I8" s="5">
        <v>85.2</v>
      </c>
      <c r="J8" s="5">
        <v>0.2</v>
      </c>
      <c r="K8" s="5">
        <v>1</v>
      </c>
      <c r="L8" s="5">
        <v>4.0999999999999996</v>
      </c>
      <c r="M8" s="5">
        <v>806615.54</v>
      </c>
      <c r="N8" s="5">
        <v>131364.62</v>
      </c>
    </row>
    <row r="9" spans="1:14" x14ac:dyDescent="0.3">
      <c r="A9" s="5" t="s">
        <v>21</v>
      </c>
      <c r="B9" s="6">
        <v>45748</v>
      </c>
      <c r="C9" s="5" t="s">
        <v>16</v>
      </c>
      <c r="D9" s="5" t="s">
        <v>22</v>
      </c>
      <c r="E9" s="5">
        <v>68148.52</v>
      </c>
      <c r="F9" s="5">
        <v>8567</v>
      </c>
      <c r="G9" s="5">
        <v>0.127</v>
      </c>
      <c r="H9" s="5">
        <v>23</v>
      </c>
      <c r="I9" s="5">
        <v>95.6</v>
      </c>
      <c r="J9" s="5">
        <v>0.8</v>
      </c>
      <c r="K9" s="5">
        <v>0</v>
      </c>
      <c r="L9" s="5">
        <v>3.9</v>
      </c>
      <c r="M9" s="5">
        <v>850164.26</v>
      </c>
      <c r="N9" s="5">
        <v>149262.75</v>
      </c>
    </row>
    <row r="10" spans="1:14" x14ac:dyDescent="0.3">
      <c r="A10" s="5" t="s">
        <v>23</v>
      </c>
      <c r="B10" s="6">
        <v>45658</v>
      </c>
      <c r="C10" s="5" t="s">
        <v>24</v>
      </c>
      <c r="D10" s="5" t="s">
        <v>25</v>
      </c>
      <c r="E10" s="5">
        <v>71838.86</v>
      </c>
      <c r="F10" s="5">
        <v>10979</v>
      </c>
      <c r="G10" s="5">
        <v>0.215</v>
      </c>
      <c r="H10" s="5">
        <v>26</v>
      </c>
      <c r="I10" s="5">
        <v>88.6</v>
      </c>
      <c r="J10" s="5">
        <v>7.7</v>
      </c>
      <c r="K10" s="5">
        <v>1</v>
      </c>
      <c r="L10" s="5">
        <v>3.8</v>
      </c>
      <c r="M10" s="5">
        <v>930581.7</v>
      </c>
      <c r="N10" s="5">
        <v>136207.98000000001</v>
      </c>
    </row>
    <row r="11" spans="1:14" x14ac:dyDescent="0.3">
      <c r="A11" s="5" t="s">
        <v>23</v>
      </c>
      <c r="B11" s="6">
        <v>45689</v>
      </c>
      <c r="C11" s="5" t="s">
        <v>24</v>
      </c>
      <c r="D11" s="5" t="s">
        <v>25</v>
      </c>
      <c r="E11" s="5">
        <v>68133.440000000002</v>
      </c>
      <c r="F11" s="5">
        <v>9459</v>
      </c>
      <c r="G11" s="5">
        <v>0.22</v>
      </c>
      <c r="H11" s="5">
        <v>21</v>
      </c>
      <c r="I11" s="5">
        <v>85</v>
      </c>
      <c r="J11" s="5">
        <v>1.91</v>
      </c>
      <c r="K11" s="5">
        <v>0</v>
      </c>
      <c r="L11" s="5">
        <v>4.2</v>
      </c>
      <c r="M11" s="5">
        <v>779010.94</v>
      </c>
      <c r="N11" s="5">
        <v>106328.09</v>
      </c>
    </row>
    <row r="12" spans="1:14" x14ac:dyDescent="0.3">
      <c r="A12" s="5" t="s">
        <v>23</v>
      </c>
      <c r="B12" s="6">
        <v>45717</v>
      </c>
      <c r="C12" s="5" t="s">
        <v>24</v>
      </c>
      <c r="D12" s="5" t="s">
        <v>25</v>
      </c>
      <c r="E12" s="5">
        <v>34285.21</v>
      </c>
      <c r="F12" s="5">
        <v>9172</v>
      </c>
      <c r="G12" s="5">
        <v>0.21299999999999999</v>
      </c>
      <c r="H12" s="5">
        <v>22</v>
      </c>
      <c r="I12" s="5">
        <v>88.3</v>
      </c>
      <c r="J12" s="5">
        <v>10.46</v>
      </c>
      <c r="K12" s="5">
        <v>1</v>
      </c>
      <c r="L12" s="5">
        <v>3.8</v>
      </c>
      <c r="M12" s="5">
        <v>723060.76</v>
      </c>
      <c r="N12" s="5">
        <v>123131.24</v>
      </c>
    </row>
    <row r="13" spans="1:14" x14ac:dyDescent="0.3">
      <c r="A13" s="5" t="s">
        <v>23</v>
      </c>
      <c r="B13" s="6">
        <v>45748</v>
      </c>
      <c r="C13" s="5" t="s">
        <v>24</v>
      </c>
      <c r="D13" s="5" t="s">
        <v>25</v>
      </c>
      <c r="E13" s="5">
        <v>67979.88</v>
      </c>
      <c r="F13" s="5">
        <v>11230</v>
      </c>
      <c r="G13" s="5">
        <v>2E-3</v>
      </c>
      <c r="H13" s="5">
        <v>28</v>
      </c>
      <c r="I13" s="5">
        <v>85.3</v>
      </c>
      <c r="J13" s="5">
        <v>7.16</v>
      </c>
      <c r="K13" s="5">
        <v>0</v>
      </c>
      <c r="L13" s="5">
        <v>3.8</v>
      </c>
      <c r="M13" s="5">
        <v>910791.94</v>
      </c>
      <c r="N13" s="5">
        <v>158891.28</v>
      </c>
    </row>
    <row r="14" spans="1:14" x14ac:dyDescent="0.3">
      <c r="A14" s="5" t="s">
        <v>26</v>
      </c>
      <c r="B14" s="6">
        <v>45658</v>
      </c>
      <c r="C14" s="5" t="s">
        <v>16</v>
      </c>
      <c r="D14" s="5" t="s">
        <v>17</v>
      </c>
      <c r="E14" s="5">
        <v>71828.259999999995</v>
      </c>
      <c r="F14" s="5">
        <v>12775</v>
      </c>
      <c r="G14" s="5">
        <v>0.11600000000000001</v>
      </c>
      <c r="H14" s="5">
        <v>30</v>
      </c>
      <c r="I14" s="5">
        <v>81.7</v>
      </c>
      <c r="J14" s="5">
        <v>4.24</v>
      </c>
      <c r="K14" s="5">
        <v>1</v>
      </c>
      <c r="L14" s="5">
        <v>4.2</v>
      </c>
      <c r="M14" s="5">
        <v>922168.6</v>
      </c>
      <c r="N14" s="5">
        <v>107494.53</v>
      </c>
    </row>
    <row r="15" spans="1:14" x14ac:dyDescent="0.3">
      <c r="A15" s="5" t="s">
        <v>26</v>
      </c>
      <c r="B15" s="6">
        <v>45689</v>
      </c>
      <c r="C15" s="5" t="s">
        <v>16</v>
      </c>
      <c r="D15" s="5" t="s">
        <v>17</v>
      </c>
      <c r="E15" s="5">
        <v>55716.82</v>
      </c>
      <c r="F15" s="5">
        <v>10054</v>
      </c>
      <c r="G15" s="5">
        <v>0.14599999999999999</v>
      </c>
      <c r="H15" s="5">
        <v>24</v>
      </c>
      <c r="I15" s="5">
        <v>84.9</v>
      </c>
      <c r="J15" s="5">
        <v>1.06</v>
      </c>
      <c r="K15" s="5">
        <v>0</v>
      </c>
      <c r="L15" s="5">
        <v>4.3</v>
      </c>
      <c r="M15" s="5">
        <v>726606.28</v>
      </c>
      <c r="N15" s="5">
        <v>122729.29</v>
      </c>
    </row>
    <row r="16" spans="1:14" x14ac:dyDescent="0.3">
      <c r="A16" s="5" t="s">
        <v>26</v>
      </c>
      <c r="B16" s="6">
        <v>45717</v>
      </c>
      <c r="C16" s="5" t="s">
        <v>16</v>
      </c>
      <c r="D16" s="5" t="s">
        <v>17</v>
      </c>
      <c r="E16" s="5">
        <v>59909.51</v>
      </c>
      <c r="F16" s="5">
        <v>8895</v>
      </c>
      <c r="G16" s="5">
        <v>0.22800000000000001</v>
      </c>
      <c r="H16" s="5">
        <v>23</v>
      </c>
      <c r="I16" s="5">
        <v>88.8</v>
      </c>
      <c r="J16" s="5">
        <v>0.27</v>
      </c>
      <c r="K16" s="5">
        <v>0</v>
      </c>
      <c r="L16" s="5">
        <v>4.3</v>
      </c>
      <c r="M16" s="5">
        <v>746501.09</v>
      </c>
      <c r="N16" s="5">
        <v>136816.72</v>
      </c>
    </row>
    <row r="17" spans="1:14" x14ac:dyDescent="0.3">
      <c r="A17" s="5" t="s">
        <v>26</v>
      </c>
      <c r="B17" s="6">
        <v>45748</v>
      </c>
      <c r="C17" s="5" t="s">
        <v>16</v>
      </c>
      <c r="D17" s="5" t="s">
        <v>17</v>
      </c>
      <c r="E17" s="5">
        <v>75305.710000000006</v>
      </c>
      <c r="F17" s="5">
        <v>10940</v>
      </c>
      <c r="G17" s="5">
        <v>6.0000000000000001E-3</v>
      </c>
      <c r="H17" s="5">
        <v>26</v>
      </c>
      <c r="I17" s="5">
        <v>76.5</v>
      </c>
      <c r="J17" s="5">
        <v>1.32</v>
      </c>
      <c r="K17" s="5">
        <v>0</v>
      </c>
      <c r="L17" s="5">
        <v>4.5</v>
      </c>
      <c r="M17" s="5">
        <v>834017.02</v>
      </c>
      <c r="N17" s="5">
        <v>114745.03</v>
      </c>
    </row>
    <row r="18" spans="1:14" x14ac:dyDescent="0.3">
      <c r="A18" s="5" t="s">
        <v>27</v>
      </c>
      <c r="B18" s="6">
        <v>45658</v>
      </c>
      <c r="C18" s="5" t="s">
        <v>28</v>
      </c>
      <c r="D18" s="5" t="s">
        <v>17</v>
      </c>
      <c r="E18" s="5">
        <v>48804.22</v>
      </c>
      <c r="F18" s="5">
        <v>7057</v>
      </c>
      <c r="G18" s="5">
        <v>5.0000000000000001E-3</v>
      </c>
      <c r="H18" s="5">
        <v>15</v>
      </c>
      <c r="I18" s="5">
        <v>87.7</v>
      </c>
      <c r="J18" s="5">
        <v>1.22</v>
      </c>
      <c r="K18" s="5">
        <v>0</v>
      </c>
      <c r="L18" s="5">
        <v>3.7</v>
      </c>
      <c r="M18" s="5">
        <v>666152.52</v>
      </c>
      <c r="N18" s="5">
        <v>107490.58</v>
      </c>
    </row>
    <row r="19" spans="1:14" x14ac:dyDescent="0.3">
      <c r="A19" s="5" t="s">
        <v>27</v>
      </c>
      <c r="B19" s="6">
        <v>45689</v>
      </c>
      <c r="C19" s="5" t="s">
        <v>28</v>
      </c>
      <c r="D19" s="5" t="s">
        <v>17</v>
      </c>
      <c r="E19" s="5">
        <v>59117.9</v>
      </c>
      <c r="F19" s="5">
        <v>4263</v>
      </c>
      <c r="G19" s="5">
        <v>0.11899999999999999</v>
      </c>
      <c r="H19" s="5">
        <v>9</v>
      </c>
      <c r="I19" s="5">
        <v>87.6</v>
      </c>
      <c r="J19" s="5">
        <v>4.01</v>
      </c>
      <c r="K19" s="5">
        <v>0</v>
      </c>
      <c r="L19" s="5">
        <v>3.6</v>
      </c>
      <c r="M19" s="5">
        <v>573155.18999999994</v>
      </c>
      <c r="N19" s="5">
        <v>83680.75</v>
      </c>
    </row>
    <row r="20" spans="1:14" x14ac:dyDescent="0.3">
      <c r="A20" s="5" t="s">
        <v>27</v>
      </c>
      <c r="B20" s="6">
        <v>45717</v>
      </c>
      <c r="C20" s="5" t="s">
        <v>28</v>
      </c>
      <c r="D20" s="5" t="s">
        <v>17</v>
      </c>
      <c r="E20" s="5">
        <v>78831.12</v>
      </c>
      <c r="F20" s="5">
        <v>5538</v>
      </c>
      <c r="G20" s="5">
        <v>0</v>
      </c>
      <c r="H20" s="5">
        <v>15</v>
      </c>
      <c r="I20" s="5">
        <v>94.1</v>
      </c>
      <c r="J20" s="5">
        <v>0.2</v>
      </c>
      <c r="K20" s="5">
        <v>0</v>
      </c>
      <c r="L20" s="5">
        <v>3.9</v>
      </c>
      <c r="M20" s="5">
        <v>666573.19999999995</v>
      </c>
      <c r="N20" s="5">
        <v>140641.01999999999</v>
      </c>
    </row>
    <row r="21" spans="1:14" x14ac:dyDescent="0.3">
      <c r="A21" s="5" t="s">
        <v>27</v>
      </c>
      <c r="B21" s="6">
        <v>45748</v>
      </c>
      <c r="C21" s="5" t="s">
        <v>28</v>
      </c>
      <c r="D21" s="5" t="s">
        <v>17</v>
      </c>
      <c r="E21" s="5">
        <v>41441.93</v>
      </c>
      <c r="F21" s="5">
        <v>4865</v>
      </c>
      <c r="G21" s="5">
        <v>0.158</v>
      </c>
      <c r="H21" s="5">
        <v>16</v>
      </c>
      <c r="I21" s="5">
        <v>88.3</v>
      </c>
      <c r="J21" s="5">
        <v>0.5</v>
      </c>
      <c r="K21" s="5">
        <v>0</v>
      </c>
      <c r="L21" s="5">
        <v>4</v>
      </c>
      <c r="M21" s="5">
        <v>591619.94999999995</v>
      </c>
      <c r="N21" s="5">
        <v>99521.35</v>
      </c>
    </row>
    <row r="22" spans="1:14" x14ac:dyDescent="0.3">
      <c r="A22" s="5" t="s">
        <v>29</v>
      </c>
      <c r="B22" s="6">
        <v>45658</v>
      </c>
      <c r="C22" s="5" t="s">
        <v>24</v>
      </c>
      <c r="D22" s="5" t="s">
        <v>17</v>
      </c>
      <c r="E22" s="5">
        <v>30356.28</v>
      </c>
      <c r="F22" s="5">
        <v>2822</v>
      </c>
      <c r="G22" s="5">
        <v>0.23100000000000001</v>
      </c>
      <c r="H22" s="5">
        <v>9</v>
      </c>
      <c r="I22" s="5">
        <v>84.8</v>
      </c>
      <c r="J22" s="5">
        <v>6.95</v>
      </c>
      <c r="K22" s="5">
        <v>0</v>
      </c>
      <c r="L22" s="5">
        <v>5</v>
      </c>
      <c r="M22" s="5">
        <v>415721.82</v>
      </c>
      <c r="N22" s="5">
        <v>61179.15</v>
      </c>
    </row>
    <row r="23" spans="1:14" x14ac:dyDescent="0.3">
      <c r="A23" s="5" t="s">
        <v>29</v>
      </c>
      <c r="B23" s="6">
        <v>45689</v>
      </c>
      <c r="C23" s="5" t="s">
        <v>24</v>
      </c>
      <c r="D23" s="5" t="s">
        <v>17</v>
      </c>
      <c r="E23" s="5">
        <v>33518.879999999997</v>
      </c>
      <c r="F23" s="5">
        <v>2121</v>
      </c>
      <c r="G23" s="5">
        <v>0.17599999999999999</v>
      </c>
      <c r="H23" s="5">
        <v>8</v>
      </c>
      <c r="I23" s="5">
        <v>88.5</v>
      </c>
      <c r="J23" s="5">
        <v>0.2</v>
      </c>
      <c r="K23" s="5">
        <v>0</v>
      </c>
      <c r="L23" s="5">
        <v>5</v>
      </c>
      <c r="M23" s="5">
        <v>491905.13</v>
      </c>
      <c r="N23" s="5">
        <v>79212.259999999995</v>
      </c>
    </row>
    <row r="24" spans="1:14" x14ac:dyDescent="0.3">
      <c r="A24" s="5" t="s">
        <v>29</v>
      </c>
      <c r="B24" s="6">
        <v>45717</v>
      </c>
      <c r="C24" s="5" t="s">
        <v>24</v>
      </c>
      <c r="D24" s="5" t="s">
        <v>17</v>
      </c>
      <c r="E24" s="5">
        <v>42267.37</v>
      </c>
      <c r="F24" s="5">
        <v>3364</v>
      </c>
      <c r="G24" s="5">
        <v>0.16</v>
      </c>
      <c r="H24" s="5">
        <v>13</v>
      </c>
      <c r="I24" s="5">
        <v>82</v>
      </c>
      <c r="J24" s="5">
        <v>1.61</v>
      </c>
      <c r="K24" s="5">
        <v>1</v>
      </c>
      <c r="L24" s="5">
        <v>4.5999999999999996</v>
      </c>
      <c r="M24" s="5">
        <v>555929.4</v>
      </c>
      <c r="N24" s="5">
        <v>115201.76</v>
      </c>
    </row>
    <row r="25" spans="1:14" x14ac:dyDescent="0.3">
      <c r="A25" s="5" t="s">
        <v>29</v>
      </c>
      <c r="B25" s="6">
        <v>45748</v>
      </c>
      <c r="C25" s="5" t="s">
        <v>24</v>
      </c>
      <c r="D25" s="5" t="s">
        <v>17</v>
      </c>
      <c r="E25" s="5">
        <v>62060.43</v>
      </c>
      <c r="F25" s="5">
        <v>2613</v>
      </c>
      <c r="G25" s="5">
        <v>0.216</v>
      </c>
      <c r="H25" s="5">
        <v>12</v>
      </c>
      <c r="I25" s="5">
        <v>92.1</v>
      </c>
      <c r="J25" s="5">
        <v>1.55</v>
      </c>
      <c r="K25" s="5">
        <v>0</v>
      </c>
      <c r="L25" s="5">
        <v>4.7</v>
      </c>
      <c r="M25" s="5">
        <v>565810.99</v>
      </c>
      <c r="N25" s="5">
        <v>77825.460000000006</v>
      </c>
    </row>
    <row r="26" spans="1:14" x14ac:dyDescent="0.3">
      <c r="A26" s="5" t="s">
        <v>30</v>
      </c>
      <c r="B26" s="6">
        <v>45658</v>
      </c>
      <c r="C26" s="5" t="s">
        <v>31</v>
      </c>
      <c r="D26" s="5" t="s">
        <v>32</v>
      </c>
      <c r="E26" s="5">
        <v>57696.69</v>
      </c>
      <c r="F26" s="5">
        <v>10218</v>
      </c>
      <c r="G26" s="5">
        <v>0.121</v>
      </c>
      <c r="H26" s="5">
        <v>25</v>
      </c>
      <c r="I26" s="5">
        <v>94.8</v>
      </c>
      <c r="J26" s="5">
        <v>2.99</v>
      </c>
      <c r="K26" s="5">
        <v>0</v>
      </c>
      <c r="L26" s="5">
        <v>3.5</v>
      </c>
      <c r="M26" s="5">
        <v>811771.14</v>
      </c>
      <c r="N26" s="5">
        <v>148756.24</v>
      </c>
    </row>
    <row r="27" spans="1:14" x14ac:dyDescent="0.3">
      <c r="A27" s="5" t="s">
        <v>30</v>
      </c>
      <c r="B27" s="6">
        <v>45689</v>
      </c>
      <c r="C27" s="5" t="s">
        <v>31</v>
      </c>
      <c r="D27" s="5" t="s">
        <v>32</v>
      </c>
      <c r="E27" s="5">
        <v>172415.52</v>
      </c>
      <c r="F27" s="5">
        <v>8927</v>
      </c>
      <c r="G27" s="5">
        <v>0.14000000000000001</v>
      </c>
      <c r="H27" s="5">
        <v>22</v>
      </c>
      <c r="I27" s="5">
        <v>86.2</v>
      </c>
      <c r="J27" s="5">
        <v>7.04</v>
      </c>
      <c r="K27" s="5">
        <v>0</v>
      </c>
      <c r="L27" s="5">
        <v>3.9</v>
      </c>
      <c r="M27" s="5">
        <v>800451.94</v>
      </c>
      <c r="N27" s="5">
        <v>111572.29</v>
      </c>
    </row>
    <row r="28" spans="1:14" x14ac:dyDescent="0.3">
      <c r="A28" s="5" t="s">
        <v>30</v>
      </c>
      <c r="B28" s="6">
        <v>45717</v>
      </c>
      <c r="C28" s="5" t="s">
        <v>31</v>
      </c>
      <c r="D28" s="5" t="s">
        <v>32</v>
      </c>
      <c r="E28" s="5">
        <v>55270.52</v>
      </c>
      <c r="F28" s="5">
        <v>9315</v>
      </c>
      <c r="G28" s="5">
        <v>0.16900000000000001</v>
      </c>
      <c r="H28" s="5">
        <v>23</v>
      </c>
      <c r="I28" s="5">
        <v>91.9</v>
      </c>
      <c r="J28" s="5">
        <v>4.9400000000000004</v>
      </c>
      <c r="K28" s="5">
        <v>0</v>
      </c>
      <c r="L28" s="5">
        <v>4</v>
      </c>
      <c r="M28" s="5">
        <v>783672.82</v>
      </c>
      <c r="N28" s="5">
        <v>112577.14</v>
      </c>
    </row>
    <row r="29" spans="1:14" x14ac:dyDescent="0.3">
      <c r="A29" s="5" t="s">
        <v>30</v>
      </c>
      <c r="B29" s="6">
        <v>45748</v>
      </c>
      <c r="C29" s="5" t="s">
        <v>31</v>
      </c>
      <c r="D29" s="5" t="s">
        <v>32</v>
      </c>
      <c r="E29" s="5">
        <v>52715.1</v>
      </c>
      <c r="F29" s="5">
        <v>7223</v>
      </c>
      <c r="G29" s="5">
        <v>0.122</v>
      </c>
      <c r="H29" s="5">
        <v>16</v>
      </c>
      <c r="I29" s="5">
        <v>84.2</v>
      </c>
      <c r="J29" s="5">
        <v>16.149999999999999</v>
      </c>
      <c r="K29" s="5">
        <v>0</v>
      </c>
      <c r="L29" s="5">
        <v>3.7</v>
      </c>
      <c r="M29" s="5">
        <v>701641.97</v>
      </c>
      <c r="N29" s="5">
        <v>106111.86</v>
      </c>
    </row>
    <row r="30" spans="1:14" x14ac:dyDescent="0.3">
      <c r="A30" s="5" t="s">
        <v>33</v>
      </c>
      <c r="B30" s="6">
        <v>45658</v>
      </c>
      <c r="C30" s="5" t="s">
        <v>16</v>
      </c>
      <c r="D30" s="5" t="s">
        <v>17</v>
      </c>
      <c r="E30" s="5">
        <v>68600.62</v>
      </c>
      <c r="F30" s="5">
        <v>3988</v>
      </c>
      <c r="G30" s="5">
        <v>0.124</v>
      </c>
      <c r="H30" s="5">
        <v>11</v>
      </c>
      <c r="I30" s="5">
        <v>85</v>
      </c>
      <c r="J30" s="5">
        <v>0.48</v>
      </c>
      <c r="K30" s="5">
        <v>0</v>
      </c>
      <c r="L30" s="5">
        <v>3.6</v>
      </c>
      <c r="M30" s="5">
        <v>511844.41</v>
      </c>
      <c r="N30" s="5">
        <v>72774.44</v>
      </c>
    </row>
    <row r="31" spans="1:14" x14ac:dyDescent="0.3">
      <c r="A31" s="5" t="s">
        <v>33</v>
      </c>
      <c r="B31" s="6">
        <v>45689</v>
      </c>
      <c r="C31" s="5" t="s">
        <v>16</v>
      </c>
      <c r="D31" s="5" t="s">
        <v>17</v>
      </c>
      <c r="E31" s="5">
        <v>63176.73</v>
      </c>
      <c r="F31" s="5">
        <v>2390</v>
      </c>
      <c r="G31" s="5">
        <v>0.216</v>
      </c>
      <c r="H31" s="5">
        <v>9</v>
      </c>
      <c r="I31" s="5">
        <v>87.5</v>
      </c>
      <c r="J31" s="5">
        <v>0.31</v>
      </c>
      <c r="K31" s="5">
        <v>0</v>
      </c>
      <c r="L31" s="5">
        <v>3.1</v>
      </c>
      <c r="M31" s="5">
        <v>537383.79</v>
      </c>
      <c r="N31" s="5">
        <v>63773.27</v>
      </c>
    </row>
    <row r="32" spans="1:14" x14ac:dyDescent="0.3">
      <c r="A32" s="5" t="s">
        <v>33</v>
      </c>
      <c r="B32" s="6">
        <v>45717</v>
      </c>
      <c r="C32" s="5" t="s">
        <v>16</v>
      </c>
      <c r="D32" s="5" t="s">
        <v>17</v>
      </c>
      <c r="E32" s="5">
        <v>44970.080000000002</v>
      </c>
      <c r="F32" s="5">
        <v>2471</v>
      </c>
      <c r="G32" s="5">
        <v>0.13600000000000001</v>
      </c>
      <c r="H32" s="5">
        <v>11</v>
      </c>
      <c r="I32" s="5">
        <v>87.6</v>
      </c>
      <c r="J32" s="5">
        <v>3.01</v>
      </c>
      <c r="K32" s="5">
        <v>1</v>
      </c>
      <c r="L32" s="5">
        <v>3.7</v>
      </c>
      <c r="M32" s="5">
        <v>500173.02</v>
      </c>
      <c r="N32" s="5">
        <v>70982.05</v>
      </c>
    </row>
    <row r="33" spans="1:14" x14ac:dyDescent="0.3">
      <c r="A33" s="5" t="s">
        <v>33</v>
      </c>
      <c r="B33" s="6">
        <v>45748</v>
      </c>
      <c r="C33" s="5" t="s">
        <v>16</v>
      </c>
      <c r="D33" s="5" t="s">
        <v>17</v>
      </c>
      <c r="E33" s="5">
        <v>69816.350000000006</v>
      </c>
      <c r="F33" s="5">
        <v>971</v>
      </c>
      <c r="G33" s="5">
        <v>0.16800000000000001</v>
      </c>
      <c r="H33" s="5">
        <v>5</v>
      </c>
      <c r="I33" s="5">
        <v>89.9</v>
      </c>
      <c r="J33" s="5">
        <v>12.15</v>
      </c>
      <c r="K33" s="5">
        <v>0</v>
      </c>
      <c r="L33" s="5">
        <v>3.6</v>
      </c>
      <c r="M33" s="5">
        <v>427917.38</v>
      </c>
      <c r="N33" s="5">
        <v>81824.31</v>
      </c>
    </row>
    <row r="34" spans="1:14" x14ac:dyDescent="0.3">
      <c r="A34" s="5" t="s">
        <v>34</v>
      </c>
      <c r="B34" s="6">
        <v>45658</v>
      </c>
      <c r="C34" s="5" t="s">
        <v>24</v>
      </c>
      <c r="D34" s="5" t="s">
        <v>17</v>
      </c>
      <c r="E34" s="5">
        <v>54597.83</v>
      </c>
      <c r="F34" s="5">
        <v>9429</v>
      </c>
      <c r="G34" s="5">
        <v>0.188</v>
      </c>
      <c r="H34" s="5">
        <v>21</v>
      </c>
      <c r="I34" s="5">
        <v>83.3</v>
      </c>
      <c r="J34" s="5">
        <v>11.71</v>
      </c>
      <c r="K34" s="5">
        <v>0</v>
      </c>
      <c r="L34" s="5">
        <v>4.2</v>
      </c>
      <c r="M34" s="5">
        <v>641865.03</v>
      </c>
      <c r="N34" s="5">
        <v>81342.58</v>
      </c>
    </row>
    <row r="35" spans="1:14" x14ac:dyDescent="0.3">
      <c r="A35" s="5" t="s">
        <v>34</v>
      </c>
      <c r="B35" s="6">
        <v>45689</v>
      </c>
      <c r="C35" s="5" t="s">
        <v>24</v>
      </c>
      <c r="D35" s="5" t="s">
        <v>17</v>
      </c>
      <c r="E35" s="5">
        <v>73771.91</v>
      </c>
      <c r="F35" s="5">
        <v>11695</v>
      </c>
      <c r="G35" s="5">
        <v>7.0000000000000007E-2</v>
      </c>
      <c r="H35" s="5">
        <v>25</v>
      </c>
      <c r="I35" s="5">
        <v>84.7</v>
      </c>
      <c r="J35" s="5">
        <v>0.62</v>
      </c>
      <c r="K35" s="5">
        <v>0</v>
      </c>
      <c r="L35" s="5">
        <v>3.9246789999999998</v>
      </c>
      <c r="M35" s="5">
        <v>799477.76000000001</v>
      </c>
      <c r="N35" s="5">
        <v>164974.41</v>
      </c>
    </row>
    <row r="36" spans="1:14" x14ac:dyDescent="0.3">
      <c r="A36" s="5" t="s">
        <v>34</v>
      </c>
      <c r="B36" s="6">
        <v>45717</v>
      </c>
      <c r="C36" s="5" t="s">
        <v>24</v>
      </c>
      <c r="D36" s="5" t="s">
        <v>17</v>
      </c>
      <c r="E36" s="5">
        <v>74413.88</v>
      </c>
      <c r="F36" s="5">
        <v>9449</v>
      </c>
      <c r="G36" s="5">
        <v>3.9E-2</v>
      </c>
      <c r="H36" s="5">
        <v>23</v>
      </c>
      <c r="I36" s="5">
        <v>92.1</v>
      </c>
      <c r="J36" s="5">
        <v>2.12</v>
      </c>
      <c r="K36" s="5">
        <v>0</v>
      </c>
      <c r="L36" s="5">
        <v>3.5</v>
      </c>
      <c r="M36" s="5">
        <v>798952.17</v>
      </c>
      <c r="N36" s="5">
        <v>161499.04</v>
      </c>
    </row>
    <row r="37" spans="1:14" x14ac:dyDescent="0.3">
      <c r="A37" s="5" t="s">
        <v>34</v>
      </c>
      <c r="B37" s="6">
        <v>45748</v>
      </c>
      <c r="C37" s="5" t="s">
        <v>24</v>
      </c>
      <c r="D37" s="5" t="s">
        <v>17</v>
      </c>
      <c r="E37" s="5">
        <v>52483.77</v>
      </c>
      <c r="F37" s="5">
        <v>10453</v>
      </c>
      <c r="G37" s="5">
        <v>0.247</v>
      </c>
      <c r="H37" s="5">
        <v>25</v>
      </c>
      <c r="I37" s="5">
        <v>99</v>
      </c>
      <c r="J37" s="5">
        <v>6.31</v>
      </c>
      <c r="K37" s="5">
        <v>0</v>
      </c>
      <c r="L37" s="5">
        <v>3.6</v>
      </c>
      <c r="M37" s="5">
        <v>800979.78</v>
      </c>
      <c r="N37" s="5">
        <v>149242.26999999999</v>
      </c>
    </row>
    <row r="38" spans="1:14" x14ac:dyDescent="0.3">
      <c r="A38" s="5" t="s">
        <v>35</v>
      </c>
      <c r="B38" s="6">
        <v>45658</v>
      </c>
      <c r="C38" s="5" t="s">
        <v>24</v>
      </c>
      <c r="D38" s="5" t="s">
        <v>32</v>
      </c>
      <c r="E38" s="5">
        <v>75269.87</v>
      </c>
      <c r="F38" s="5">
        <v>8838</v>
      </c>
      <c r="G38" s="5">
        <v>9.1999999999999998E-2</v>
      </c>
      <c r="H38" s="5">
        <v>21</v>
      </c>
      <c r="I38" s="5">
        <v>83.1</v>
      </c>
      <c r="J38" s="5">
        <v>9.56</v>
      </c>
      <c r="K38" s="5">
        <v>1</v>
      </c>
      <c r="L38" s="5">
        <v>4.2</v>
      </c>
      <c r="M38" s="5">
        <v>820593.93</v>
      </c>
      <c r="N38" s="5">
        <v>115860.06</v>
      </c>
    </row>
    <row r="39" spans="1:14" x14ac:dyDescent="0.3">
      <c r="A39" s="5" t="s">
        <v>35</v>
      </c>
      <c r="B39" s="6">
        <v>45689</v>
      </c>
      <c r="C39" s="5" t="s">
        <v>24</v>
      </c>
      <c r="D39" s="5" t="s">
        <v>32</v>
      </c>
      <c r="E39" s="5">
        <v>61245.41</v>
      </c>
      <c r="F39" s="5">
        <v>8156</v>
      </c>
      <c r="G39" s="5">
        <v>0.156</v>
      </c>
      <c r="H39" s="5">
        <v>19</v>
      </c>
      <c r="I39" s="5">
        <v>92.9</v>
      </c>
      <c r="J39" s="5">
        <v>9.0500000000000007</v>
      </c>
      <c r="K39" s="5">
        <v>0</v>
      </c>
      <c r="L39" s="5">
        <v>3.8</v>
      </c>
      <c r="M39" s="5">
        <v>718330.53</v>
      </c>
      <c r="N39" s="5">
        <v>93247.9</v>
      </c>
    </row>
    <row r="40" spans="1:14" x14ac:dyDescent="0.3">
      <c r="A40" s="5" t="s">
        <v>35</v>
      </c>
      <c r="B40" s="6">
        <v>45717</v>
      </c>
      <c r="C40" s="5" t="s">
        <v>24</v>
      </c>
      <c r="D40" s="5" t="s">
        <v>32</v>
      </c>
      <c r="E40" s="5">
        <v>93381.26</v>
      </c>
      <c r="F40" s="5">
        <v>7562</v>
      </c>
      <c r="G40" s="5">
        <v>0.19800000000000001</v>
      </c>
      <c r="H40" s="5">
        <v>19</v>
      </c>
      <c r="I40" s="5">
        <v>82.9</v>
      </c>
      <c r="J40" s="5">
        <v>5.05</v>
      </c>
      <c r="K40" s="5">
        <v>0</v>
      </c>
      <c r="L40" s="5">
        <v>4</v>
      </c>
      <c r="M40" s="5">
        <v>736633.4</v>
      </c>
      <c r="N40" s="5">
        <v>115654.66</v>
      </c>
    </row>
    <row r="41" spans="1:14" x14ac:dyDescent="0.3">
      <c r="A41" s="5" t="s">
        <v>35</v>
      </c>
      <c r="B41" s="6">
        <v>45748</v>
      </c>
      <c r="C41" s="5" t="s">
        <v>24</v>
      </c>
      <c r="D41" s="5" t="s">
        <v>32</v>
      </c>
      <c r="E41" s="5">
        <v>65012.19</v>
      </c>
      <c r="F41" s="5">
        <v>9598</v>
      </c>
      <c r="G41" s="5">
        <v>8.5000000000000006E-2</v>
      </c>
      <c r="H41" s="5">
        <v>24</v>
      </c>
      <c r="I41" s="5">
        <v>98.3</v>
      </c>
      <c r="J41" s="5">
        <v>0.89</v>
      </c>
      <c r="K41" s="5">
        <v>0</v>
      </c>
      <c r="L41" s="5">
        <v>3.8</v>
      </c>
      <c r="M41" s="5">
        <v>828623.85</v>
      </c>
      <c r="N41" s="5">
        <v>167320.51999999999</v>
      </c>
    </row>
    <row r="42" spans="1:14" x14ac:dyDescent="0.3">
      <c r="A42" s="5" t="s">
        <v>36</v>
      </c>
      <c r="B42" s="6">
        <v>45658</v>
      </c>
      <c r="C42" s="5" t="s">
        <v>16</v>
      </c>
      <c r="D42" s="5" t="s">
        <v>32</v>
      </c>
      <c r="E42" s="5">
        <v>40462.94</v>
      </c>
      <c r="F42" s="5">
        <v>3660</v>
      </c>
      <c r="G42" s="5">
        <v>0.218</v>
      </c>
      <c r="H42" s="5">
        <v>11</v>
      </c>
      <c r="I42" s="5">
        <v>95.2</v>
      </c>
      <c r="J42" s="5">
        <v>5.57</v>
      </c>
      <c r="K42" s="5">
        <v>0</v>
      </c>
      <c r="L42" s="5">
        <v>4.4000000000000004</v>
      </c>
      <c r="M42" s="5">
        <v>592195.85</v>
      </c>
      <c r="N42" s="5">
        <v>92291.56</v>
      </c>
    </row>
    <row r="43" spans="1:14" x14ac:dyDescent="0.3">
      <c r="A43" s="5" t="s">
        <v>36</v>
      </c>
      <c r="B43" s="6">
        <v>45689</v>
      </c>
      <c r="C43" s="5" t="s">
        <v>16</v>
      </c>
      <c r="D43" s="5" t="s">
        <v>32</v>
      </c>
      <c r="E43" s="5">
        <v>46123.88</v>
      </c>
      <c r="F43" s="5">
        <v>3227</v>
      </c>
      <c r="G43" s="5">
        <v>0.14299999999999999</v>
      </c>
      <c r="H43" s="5">
        <v>10</v>
      </c>
      <c r="I43" s="5">
        <v>75.400000000000006</v>
      </c>
      <c r="J43" s="5">
        <v>1.06</v>
      </c>
      <c r="K43" s="5">
        <v>0</v>
      </c>
      <c r="L43" s="5">
        <v>4.4000000000000004</v>
      </c>
      <c r="M43" s="5">
        <v>532644.46</v>
      </c>
      <c r="N43" s="5">
        <v>60681.32</v>
      </c>
    </row>
    <row r="44" spans="1:14" x14ac:dyDescent="0.3">
      <c r="A44" s="5" t="s">
        <v>36</v>
      </c>
      <c r="B44" s="6">
        <v>45717</v>
      </c>
      <c r="C44" s="5" t="s">
        <v>16</v>
      </c>
      <c r="D44" s="5" t="s">
        <v>32</v>
      </c>
      <c r="E44" s="5">
        <v>68077.539999999994</v>
      </c>
      <c r="F44" s="5">
        <v>3360</v>
      </c>
      <c r="G44" s="5">
        <v>0.128</v>
      </c>
      <c r="H44" s="5">
        <v>14</v>
      </c>
      <c r="I44" s="5">
        <v>88.2</v>
      </c>
      <c r="J44" s="5">
        <v>1.24</v>
      </c>
      <c r="K44" s="5">
        <v>1</v>
      </c>
      <c r="L44" s="5">
        <v>4</v>
      </c>
      <c r="M44" s="5">
        <v>657429.18000000005</v>
      </c>
      <c r="N44" s="5">
        <v>88919.74</v>
      </c>
    </row>
    <row r="45" spans="1:14" x14ac:dyDescent="0.3">
      <c r="A45" s="5" t="s">
        <v>36</v>
      </c>
      <c r="B45" s="6">
        <v>45748</v>
      </c>
      <c r="C45" s="5" t="s">
        <v>16</v>
      </c>
      <c r="D45" s="5" t="s">
        <v>32</v>
      </c>
      <c r="E45" s="5">
        <v>64882.14</v>
      </c>
      <c r="F45" s="5">
        <v>3642</v>
      </c>
      <c r="G45" s="5">
        <v>1.9E-2</v>
      </c>
      <c r="H45" s="5">
        <v>13</v>
      </c>
      <c r="I45" s="5">
        <v>87.8</v>
      </c>
      <c r="J45" s="5">
        <v>4.5199999999999996</v>
      </c>
      <c r="K45" s="5">
        <v>0</v>
      </c>
      <c r="L45" s="5">
        <v>4.2</v>
      </c>
      <c r="M45" s="5">
        <v>605178</v>
      </c>
      <c r="N45" s="5">
        <v>106958.74</v>
      </c>
    </row>
    <row r="46" spans="1:14" x14ac:dyDescent="0.3">
      <c r="A46" s="5" t="s">
        <v>37</v>
      </c>
      <c r="B46" s="6">
        <v>45658</v>
      </c>
      <c r="C46" s="5" t="s">
        <v>31</v>
      </c>
      <c r="D46" s="5" t="s">
        <v>17</v>
      </c>
      <c r="E46" s="5">
        <v>138855.51</v>
      </c>
      <c r="F46" s="5">
        <v>5145</v>
      </c>
      <c r="G46" s="5">
        <v>0.06</v>
      </c>
      <c r="H46" s="5">
        <v>17</v>
      </c>
      <c r="I46" s="5">
        <v>88.2</v>
      </c>
      <c r="J46" s="5">
        <v>9.58</v>
      </c>
      <c r="K46" s="5">
        <v>0</v>
      </c>
      <c r="L46" s="5">
        <v>3.2</v>
      </c>
      <c r="M46" s="5">
        <v>595467.6</v>
      </c>
      <c r="N46" s="5">
        <v>104276.46</v>
      </c>
    </row>
    <row r="47" spans="1:14" x14ac:dyDescent="0.3">
      <c r="A47" s="5" t="s">
        <v>37</v>
      </c>
      <c r="B47" s="6">
        <v>45689</v>
      </c>
      <c r="C47" s="5" t="s">
        <v>31</v>
      </c>
      <c r="D47" s="5" t="s">
        <v>17</v>
      </c>
      <c r="E47" s="5">
        <v>63630.21</v>
      </c>
      <c r="F47" s="5">
        <v>4460</v>
      </c>
      <c r="G47" s="5">
        <v>0.23499999999999999</v>
      </c>
      <c r="H47" s="5">
        <v>14</v>
      </c>
      <c r="I47" s="5">
        <v>98.6</v>
      </c>
      <c r="J47" s="5">
        <v>5.52</v>
      </c>
      <c r="K47" s="5">
        <v>0</v>
      </c>
      <c r="L47" s="5">
        <v>3.5</v>
      </c>
      <c r="M47" s="5">
        <v>599603.4</v>
      </c>
      <c r="N47" s="5">
        <v>112685.12</v>
      </c>
    </row>
    <row r="48" spans="1:14" x14ac:dyDescent="0.3">
      <c r="A48" s="5" t="s">
        <v>37</v>
      </c>
      <c r="B48" s="6">
        <v>45717</v>
      </c>
      <c r="C48" s="5" t="s">
        <v>31</v>
      </c>
      <c r="D48" s="5" t="s">
        <v>17</v>
      </c>
      <c r="E48" s="5">
        <v>50043.65</v>
      </c>
      <c r="F48" s="5">
        <v>3804</v>
      </c>
      <c r="G48" s="5">
        <v>0.113</v>
      </c>
      <c r="H48" s="5">
        <v>11</v>
      </c>
      <c r="I48" s="5">
        <v>90.9</v>
      </c>
      <c r="J48" s="5">
        <v>2.7</v>
      </c>
      <c r="K48" s="5">
        <v>1</v>
      </c>
      <c r="L48" s="5">
        <v>3.2</v>
      </c>
      <c r="M48" s="5">
        <v>614800.09</v>
      </c>
      <c r="N48" s="5">
        <v>100044.2</v>
      </c>
    </row>
    <row r="49" spans="1:14" x14ac:dyDescent="0.3">
      <c r="A49" s="5" t="s">
        <v>37</v>
      </c>
      <c r="B49" s="6">
        <v>45748</v>
      </c>
      <c r="C49" s="5" t="s">
        <v>31</v>
      </c>
      <c r="D49" s="5" t="s">
        <v>17</v>
      </c>
      <c r="E49" s="5">
        <v>42093.84</v>
      </c>
      <c r="F49" s="5">
        <v>4074</v>
      </c>
      <c r="G49" s="5">
        <v>0.155</v>
      </c>
      <c r="H49" s="5">
        <v>15</v>
      </c>
      <c r="I49" s="5">
        <v>88</v>
      </c>
      <c r="J49" s="5">
        <v>9.64</v>
      </c>
      <c r="K49" s="5">
        <v>0</v>
      </c>
      <c r="L49" s="5">
        <v>3.3</v>
      </c>
      <c r="M49" s="5">
        <v>585365.73</v>
      </c>
      <c r="N49" s="5">
        <v>81011.520000000004</v>
      </c>
    </row>
    <row r="50" spans="1:14" x14ac:dyDescent="0.3">
      <c r="A50" s="5" t="s">
        <v>38</v>
      </c>
      <c r="B50" s="6">
        <v>45658</v>
      </c>
      <c r="C50" s="5" t="s">
        <v>24</v>
      </c>
      <c r="D50" s="5" t="s">
        <v>32</v>
      </c>
      <c r="E50" s="5">
        <v>46624.05</v>
      </c>
      <c r="F50" s="5">
        <v>5104</v>
      </c>
      <c r="G50" s="5">
        <v>0.109</v>
      </c>
      <c r="H50" s="5">
        <v>11</v>
      </c>
      <c r="I50" s="5">
        <v>97.3</v>
      </c>
      <c r="J50" s="5">
        <v>3.49</v>
      </c>
      <c r="K50" s="5">
        <v>1</v>
      </c>
      <c r="L50" s="5">
        <v>4.7</v>
      </c>
      <c r="M50" s="5">
        <v>622811.74</v>
      </c>
      <c r="N50" s="5">
        <v>109978.35</v>
      </c>
    </row>
    <row r="51" spans="1:14" x14ac:dyDescent="0.3">
      <c r="A51" s="5" t="s">
        <v>38</v>
      </c>
      <c r="B51" s="6">
        <v>45689</v>
      </c>
      <c r="C51" s="5" t="s">
        <v>24</v>
      </c>
      <c r="D51" s="5" t="s">
        <v>32</v>
      </c>
      <c r="E51" s="5">
        <v>49710.29</v>
      </c>
      <c r="F51" s="5">
        <v>5559</v>
      </c>
      <c r="G51" s="5">
        <v>0.218</v>
      </c>
      <c r="H51" s="5">
        <v>14</v>
      </c>
      <c r="I51" s="5">
        <v>71</v>
      </c>
      <c r="J51" s="5">
        <v>9.11</v>
      </c>
      <c r="K51" s="5">
        <v>0</v>
      </c>
      <c r="L51" s="5">
        <v>4.5999999999999996</v>
      </c>
      <c r="M51" s="5">
        <v>603297.56999999995</v>
      </c>
      <c r="N51" s="5">
        <v>60592.26</v>
      </c>
    </row>
    <row r="52" spans="1:14" x14ac:dyDescent="0.3">
      <c r="A52" s="5" t="s">
        <v>38</v>
      </c>
      <c r="B52" s="6">
        <v>45717</v>
      </c>
      <c r="C52" s="5" t="s">
        <v>24</v>
      </c>
      <c r="D52" s="5" t="s">
        <v>32</v>
      </c>
      <c r="E52" s="5">
        <v>48287.85</v>
      </c>
      <c r="F52" s="5">
        <v>5150</v>
      </c>
      <c r="G52" s="5">
        <v>8.0000000000000002E-3</v>
      </c>
      <c r="H52" s="5">
        <v>12</v>
      </c>
      <c r="I52" s="5">
        <v>80.400000000000006</v>
      </c>
      <c r="J52" s="5">
        <v>7.4</v>
      </c>
      <c r="K52" s="5">
        <v>0</v>
      </c>
      <c r="L52" s="5">
        <v>4.5</v>
      </c>
      <c r="M52" s="5">
        <v>625672.86</v>
      </c>
      <c r="N52" s="5">
        <v>118020.12</v>
      </c>
    </row>
    <row r="53" spans="1:14" x14ac:dyDescent="0.3">
      <c r="A53" s="5" t="s">
        <v>38</v>
      </c>
      <c r="B53" s="6">
        <v>45748</v>
      </c>
      <c r="C53" s="5" t="s">
        <v>24</v>
      </c>
      <c r="D53" s="5" t="s">
        <v>32</v>
      </c>
      <c r="E53" s="5">
        <v>65312.49</v>
      </c>
      <c r="F53" s="5">
        <v>7189</v>
      </c>
      <c r="G53" s="5">
        <v>0.05</v>
      </c>
      <c r="H53" s="5">
        <v>19</v>
      </c>
      <c r="I53" s="5">
        <v>93.7</v>
      </c>
      <c r="J53" s="5">
        <v>7.16</v>
      </c>
      <c r="K53" s="5">
        <v>0</v>
      </c>
      <c r="L53" s="5">
        <v>4.5999999999999996</v>
      </c>
      <c r="M53" s="5">
        <v>773815.14</v>
      </c>
      <c r="N53" s="5">
        <v>133948.39000000001</v>
      </c>
    </row>
    <row r="54" spans="1:14" x14ac:dyDescent="0.3">
      <c r="A54" s="5" t="s">
        <v>39</v>
      </c>
      <c r="B54" s="6">
        <v>45658</v>
      </c>
      <c r="C54" s="5" t="s">
        <v>31</v>
      </c>
      <c r="D54" s="5" t="s">
        <v>22</v>
      </c>
      <c r="E54" s="5">
        <v>53015.46</v>
      </c>
      <c r="F54" s="5">
        <v>3279</v>
      </c>
      <c r="G54" s="5">
        <v>8.6999999999999994E-2</v>
      </c>
      <c r="H54" s="5">
        <v>9</v>
      </c>
      <c r="I54" s="5">
        <v>84.3</v>
      </c>
      <c r="J54" s="5">
        <v>22.02</v>
      </c>
      <c r="K54" s="5">
        <v>0</v>
      </c>
      <c r="L54" s="5">
        <v>3.9</v>
      </c>
      <c r="M54" s="5">
        <v>463534.25</v>
      </c>
      <c r="N54" s="5">
        <v>81834.539999999994</v>
      </c>
    </row>
    <row r="55" spans="1:14" x14ac:dyDescent="0.3">
      <c r="A55" s="5" t="s">
        <v>39</v>
      </c>
      <c r="B55" s="6">
        <v>45689</v>
      </c>
      <c r="C55" s="5" t="s">
        <v>31</v>
      </c>
      <c r="D55" s="5" t="s">
        <v>22</v>
      </c>
      <c r="E55" s="5">
        <v>99874.01</v>
      </c>
      <c r="F55" s="5">
        <v>5887</v>
      </c>
      <c r="G55" s="5">
        <v>0.26200000000000001</v>
      </c>
      <c r="H55" s="5">
        <v>14</v>
      </c>
      <c r="I55" s="5">
        <v>88.7</v>
      </c>
      <c r="J55" s="5">
        <v>6.18</v>
      </c>
      <c r="K55" s="5">
        <v>0</v>
      </c>
      <c r="L55" s="5">
        <v>4.7</v>
      </c>
      <c r="M55" s="5">
        <v>746677.75</v>
      </c>
      <c r="N55" s="5">
        <v>122437.84</v>
      </c>
    </row>
    <row r="56" spans="1:14" x14ac:dyDescent="0.3">
      <c r="A56" s="5" t="s">
        <v>39</v>
      </c>
      <c r="B56" s="6">
        <v>45717</v>
      </c>
      <c r="C56" s="5" t="s">
        <v>31</v>
      </c>
      <c r="D56" s="5" t="s">
        <v>22</v>
      </c>
      <c r="E56" s="5">
        <v>81195.5</v>
      </c>
      <c r="F56" s="5">
        <v>5516</v>
      </c>
      <c r="G56" s="5">
        <v>0.106</v>
      </c>
      <c r="H56" s="5">
        <v>14</v>
      </c>
      <c r="I56" s="5">
        <v>88</v>
      </c>
      <c r="J56" s="5">
        <v>1.76</v>
      </c>
      <c r="K56" s="5">
        <v>0</v>
      </c>
      <c r="L56" s="5">
        <v>4.3</v>
      </c>
      <c r="M56" s="5">
        <v>720852.5</v>
      </c>
      <c r="N56" s="5">
        <v>98565.62</v>
      </c>
    </row>
    <row r="57" spans="1:14" x14ac:dyDescent="0.3">
      <c r="A57" s="5" t="s">
        <v>39</v>
      </c>
      <c r="B57" s="6">
        <v>45748</v>
      </c>
      <c r="C57" s="5" t="s">
        <v>31</v>
      </c>
      <c r="D57" s="5" t="s">
        <v>22</v>
      </c>
      <c r="E57" s="5">
        <v>27808.6</v>
      </c>
      <c r="F57" s="5">
        <v>2863</v>
      </c>
      <c r="G57" s="5">
        <v>0.08</v>
      </c>
      <c r="H57" s="5">
        <v>13</v>
      </c>
      <c r="I57" s="5">
        <v>89.3</v>
      </c>
      <c r="J57" s="5">
        <v>0.47</v>
      </c>
      <c r="K57" s="5">
        <v>0</v>
      </c>
      <c r="L57" s="5">
        <v>4.0999999999999996</v>
      </c>
      <c r="M57" s="5">
        <v>487464.91</v>
      </c>
      <c r="N57" s="5">
        <v>64562.26</v>
      </c>
    </row>
    <row r="58" spans="1:14" x14ac:dyDescent="0.3">
      <c r="A58" s="5" t="s">
        <v>40</v>
      </c>
      <c r="B58" s="6">
        <v>45658</v>
      </c>
      <c r="C58" s="5" t="s">
        <v>16</v>
      </c>
      <c r="D58" s="5" t="s">
        <v>25</v>
      </c>
      <c r="E58" s="5">
        <v>19365.060000000001</v>
      </c>
      <c r="F58" s="5">
        <v>2378</v>
      </c>
      <c r="G58" s="5">
        <v>0</v>
      </c>
      <c r="H58" s="5">
        <v>12</v>
      </c>
      <c r="I58" s="5">
        <v>94.8</v>
      </c>
      <c r="J58" s="5">
        <v>0.2</v>
      </c>
      <c r="K58" s="5">
        <v>0</v>
      </c>
      <c r="L58" s="5">
        <v>3.5</v>
      </c>
      <c r="M58" s="5">
        <v>518049.26</v>
      </c>
      <c r="N58" s="5">
        <v>108592.49</v>
      </c>
    </row>
    <row r="59" spans="1:14" x14ac:dyDescent="0.3">
      <c r="A59" s="5" t="s">
        <v>40</v>
      </c>
      <c r="B59" s="6">
        <v>45689</v>
      </c>
      <c r="C59" s="5" t="s">
        <v>16</v>
      </c>
      <c r="D59" s="5" t="s">
        <v>25</v>
      </c>
      <c r="E59" s="5">
        <v>59405.68</v>
      </c>
      <c r="F59" s="5">
        <v>2515</v>
      </c>
      <c r="G59" s="5">
        <v>3.9E-2</v>
      </c>
      <c r="H59" s="5">
        <v>12</v>
      </c>
      <c r="I59" s="5">
        <v>76</v>
      </c>
      <c r="J59" s="5">
        <v>5.1100000000000003</v>
      </c>
      <c r="K59" s="5">
        <v>0</v>
      </c>
      <c r="L59" s="5">
        <v>3.7</v>
      </c>
      <c r="M59" s="5">
        <v>500298.48</v>
      </c>
      <c r="N59" s="5">
        <v>73461.320000000007</v>
      </c>
    </row>
    <row r="60" spans="1:14" x14ac:dyDescent="0.3">
      <c r="A60" s="5" t="s">
        <v>40</v>
      </c>
      <c r="B60" s="6">
        <v>45717</v>
      </c>
      <c r="C60" s="5" t="s">
        <v>16</v>
      </c>
      <c r="D60" s="5" t="s">
        <v>25</v>
      </c>
      <c r="E60" s="5">
        <v>118910.48</v>
      </c>
      <c r="F60" s="5">
        <v>4022</v>
      </c>
      <c r="G60" s="5">
        <v>0.13700000000000001</v>
      </c>
      <c r="H60" s="5">
        <v>11</v>
      </c>
      <c r="I60" s="5">
        <v>87.1</v>
      </c>
      <c r="J60" s="5">
        <v>0.2</v>
      </c>
      <c r="K60" s="5">
        <v>0</v>
      </c>
      <c r="L60" s="5">
        <v>3.1</v>
      </c>
      <c r="M60" s="5">
        <v>617291.15</v>
      </c>
      <c r="N60" s="5">
        <v>117782</v>
      </c>
    </row>
    <row r="61" spans="1:14" x14ac:dyDescent="0.3">
      <c r="A61" s="5" t="s">
        <v>40</v>
      </c>
      <c r="B61" s="6">
        <v>45748</v>
      </c>
      <c r="C61" s="5" t="s">
        <v>16</v>
      </c>
      <c r="D61" s="5" t="s">
        <v>25</v>
      </c>
      <c r="E61" s="5">
        <v>52952.12</v>
      </c>
      <c r="F61" s="5">
        <v>4377</v>
      </c>
      <c r="G61" s="5">
        <v>9.1999999999999998E-2</v>
      </c>
      <c r="H61" s="5">
        <v>14</v>
      </c>
      <c r="I61" s="5">
        <v>88.6</v>
      </c>
      <c r="J61" s="5">
        <v>13.59</v>
      </c>
      <c r="K61" s="5">
        <v>0</v>
      </c>
      <c r="L61" s="5">
        <v>3.1</v>
      </c>
      <c r="M61" s="5">
        <v>553756.43000000005</v>
      </c>
      <c r="N61" s="5">
        <v>86166.77</v>
      </c>
    </row>
    <row r="62" spans="1:14" x14ac:dyDescent="0.3">
      <c r="A62" s="5" t="s">
        <v>41</v>
      </c>
      <c r="B62" s="6">
        <v>45658</v>
      </c>
      <c r="C62" s="5" t="s">
        <v>28</v>
      </c>
      <c r="D62" s="5" t="s">
        <v>22</v>
      </c>
      <c r="E62" s="5">
        <v>74907.98</v>
      </c>
      <c r="F62" s="5">
        <v>5306</v>
      </c>
      <c r="G62" s="5">
        <v>6.2E-2</v>
      </c>
      <c r="H62" s="5">
        <v>16</v>
      </c>
      <c r="I62" s="5">
        <v>95.6</v>
      </c>
      <c r="J62" s="5">
        <v>1.02</v>
      </c>
      <c r="K62" s="5">
        <v>0</v>
      </c>
      <c r="L62" s="5">
        <v>3.7</v>
      </c>
      <c r="M62" s="5">
        <v>749559.71</v>
      </c>
      <c r="N62" s="5">
        <v>144522.53</v>
      </c>
    </row>
    <row r="63" spans="1:14" x14ac:dyDescent="0.3">
      <c r="A63" s="5" t="s">
        <v>41</v>
      </c>
      <c r="B63" s="6">
        <v>45689</v>
      </c>
      <c r="C63" s="5" t="s">
        <v>28</v>
      </c>
      <c r="D63" s="5" t="s">
        <v>22</v>
      </c>
      <c r="E63" s="5">
        <v>37284.660000000003</v>
      </c>
      <c r="F63" s="5">
        <v>3928</v>
      </c>
      <c r="G63" s="5">
        <v>7.3999999999999996E-2</v>
      </c>
      <c r="H63" s="5">
        <v>12</v>
      </c>
      <c r="I63" s="5">
        <v>86.5</v>
      </c>
      <c r="J63" s="5">
        <v>1.64</v>
      </c>
      <c r="K63" s="5">
        <v>0</v>
      </c>
      <c r="L63" s="5">
        <v>3.8</v>
      </c>
      <c r="M63" s="5">
        <v>615966.48</v>
      </c>
      <c r="N63" s="5">
        <v>91509.38</v>
      </c>
    </row>
    <row r="64" spans="1:14" x14ac:dyDescent="0.3">
      <c r="A64" s="5" t="s">
        <v>41</v>
      </c>
      <c r="B64" s="6">
        <v>45717</v>
      </c>
      <c r="C64" s="5" t="s">
        <v>28</v>
      </c>
      <c r="D64" s="5" t="s">
        <v>22</v>
      </c>
      <c r="E64" s="5">
        <v>50343.19</v>
      </c>
      <c r="F64" s="5">
        <v>3845</v>
      </c>
      <c r="G64" s="5">
        <v>0.113</v>
      </c>
      <c r="H64" s="5">
        <v>9</v>
      </c>
      <c r="I64" s="5">
        <v>88.7</v>
      </c>
      <c r="J64" s="5">
        <v>5.15</v>
      </c>
      <c r="K64" s="5">
        <v>0</v>
      </c>
      <c r="L64" s="5">
        <v>3.3</v>
      </c>
      <c r="M64" s="5">
        <v>572011.19999999995</v>
      </c>
      <c r="N64" s="5">
        <v>101409.68</v>
      </c>
    </row>
    <row r="65" spans="1:14" x14ac:dyDescent="0.3">
      <c r="A65" s="5" t="s">
        <v>41</v>
      </c>
      <c r="B65" s="6">
        <v>45748</v>
      </c>
      <c r="C65" s="5" t="s">
        <v>28</v>
      </c>
      <c r="D65" s="5" t="s">
        <v>22</v>
      </c>
      <c r="E65" s="5">
        <v>74954.47</v>
      </c>
      <c r="F65" s="5">
        <v>6620</v>
      </c>
      <c r="G65" s="5">
        <v>5.3999999999999999E-2</v>
      </c>
      <c r="H65" s="5">
        <v>17</v>
      </c>
      <c r="I65" s="5">
        <v>91.1</v>
      </c>
      <c r="J65" s="5">
        <v>1.1100000000000001</v>
      </c>
      <c r="K65" s="5">
        <v>0</v>
      </c>
      <c r="L65" s="5">
        <v>3.5</v>
      </c>
      <c r="M65" s="5">
        <v>761860.19</v>
      </c>
      <c r="N65" s="5">
        <v>133279.38</v>
      </c>
    </row>
    <row r="66" spans="1:14" x14ac:dyDescent="0.3">
      <c r="A66" s="5" t="s">
        <v>42</v>
      </c>
      <c r="B66" s="6">
        <v>45658</v>
      </c>
      <c r="C66" s="5" t="s">
        <v>31</v>
      </c>
      <c r="D66" s="5" t="s">
        <v>22</v>
      </c>
      <c r="E66" s="5">
        <v>70040.31</v>
      </c>
      <c r="F66" s="5">
        <v>9175</v>
      </c>
      <c r="G66" s="5">
        <v>0.107</v>
      </c>
      <c r="H66" s="5">
        <v>23</v>
      </c>
      <c r="I66" s="5">
        <v>95.1</v>
      </c>
      <c r="J66" s="5">
        <v>6.08</v>
      </c>
      <c r="K66" s="5">
        <v>1</v>
      </c>
      <c r="L66" s="5">
        <v>3.4</v>
      </c>
      <c r="M66" s="5">
        <v>784502.68</v>
      </c>
      <c r="N66" s="5">
        <v>129519.72</v>
      </c>
    </row>
    <row r="67" spans="1:14" x14ac:dyDescent="0.3">
      <c r="A67" s="5" t="s">
        <v>42</v>
      </c>
      <c r="B67" s="6">
        <v>45689</v>
      </c>
      <c r="C67" s="5" t="s">
        <v>31</v>
      </c>
      <c r="D67" s="5" t="s">
        <v>22</v>
      </c>
      <c r="E67" s="5">
        <v>51148.69</v>
      </c>
      <c r="F67" s="5">
        <v>7940</v>
      </c>
      <c r="G67" s="5">
        <v>0.156</v>
      </c>
      <c r="H67" s="5">
        <v>18</v>
      </c>
      <c r="I67" s="5">
        <v>93.3</v>
      </c>
      <c r="J67" s="5">
        <v>10.91</v>
      </c>
      <c r="K67" s="5">
        <v>0</v>
      </c>
      <c r="L67" s="5">
        <v>3.6</v>
      </c>
      <c r="M67" s="5">
        <v>717141.55</v>
      </c>
      <c r="N67" s="5">
        <v>134013.60999999999</v>
      </c>
    </row>
    <row r="68" spans="1:14" x14ac:dyDescent="0.3">
      <c r="A68" s="5" t="s">
        <v>42</v>
      </c>
      <c r="B68" s="6">
        <v>45717</v>
      </c>
      <c r="C68" s="5" t="s">
        <v>31</v>
      </c>
      <c r="D68" s="5" t="s">
        <v>22</v>
      </c>
      <c r="E68" s="5">
        <v>79346.100000000006</v>
      </c>
      <c r="F68" s="5">
        <v>9628</v>
      </c>
      <c r="G68" s="5">
        <v>0.10199999999999999</v>
      </c>
      <c r="H68" s="5">
        <v>20</v>
      </c>
      <c r="I68" s="5">
        <v>99</v>
      </c>
      <c r="J68" s="5">
        <v>19.010000000000002</v>
      </c>
      <c r="K68" s="5">
        <v>1</v>
      </c>
      <c r="L68" s="5">
        <v>3.2</v>
      </c>
      <c r="M68" s="5">
        <v>685379.08</v>
      </c>
      <c r="N68" s="5">
        <v>106898.82</v>
      </c>
    </row>
    <row r="69" spans="1:14" x14ac:dyDescent="0.3">
      <c r="A69" s="5" t="s">
        <v>42</v>
      </c>
      <c r="B69" s="6">
        <v>45748</v>
      </c>
      <c r="C69" s="5" t="s">
        <v>31</v>
      </c>
      <c r="D69" s="5" t="s">
        <v>22</v>
      </c>
      <c r="E69" s="5">
        <v>42018.400000000001</v>
      </c>
      <c r="F69" s="5">
        <v>8296</v>
      </c>
      <c r="G69" s="5">
        <v>0.115</v>
      </c>
      <c r="H69" s="5">
        <v>17</v>
      </c>
      <c r="I69" s="5">
        <v>91.8</v>
      </c>
      <c r="J69" s="5">
        <v>0.77</v>
      </c>
      <c r="K69" s="5">
        <v>0</v>
      </c>
      <c r="L69" s="5">
        <v>3.4</v>
      </c>
      <c r="M69" s="5">
        <v>740496.65</v>
      </c>
      <c r="N69" s="5">
        <v>128020.9</v>
      </c>
    </row>
    <row r="70" spans="1:14" x14ac:dyDescent="0.3">
      <c r="A70" s="5" t="s">
        <v>43</v>
      </c>
      <c r="B70" s="6">
        <v>45658</v>
      </c>
      <c r="C70" s="5" t="s">
        <v>16</v>
      </c>
      <c r="D70" s="5" t="s">
        <v>22</v>
      </c>
      <c r="E70" s="5">
        <v>70937.240000000005</v>
      </c>
      <c r="F70" s="5">
        <v>3595</v>
      </c>
      <c r="G70" s="5">
        <v>0.14099999999999999</v>
      </c>
      <c r="H70" s="5">
        <v>11</v>
      </c>
      <c r="I70" s="5">
        <v>88.9</v>
      </c>
      <c r="J70" s="5">
        <v>2.83</v>
      </c>
      <c r="K70" s="5">
        <v>1</v>
      </c>
      <c r="L70" s="5">
        <v>3.3</v>
      </c>
      <c r="M70" s="5">
        <v>661927.14</v>
      </c>
      <c r="N70" s="5">
        <v>79218.570000000007</v>
      </c>
    </row>
    <row r="71" spans="1:14" x14ac:dyDescent="0.3">
      <c r="A71" s="5" t="s">
        <v>43</v>
      </c>
      <c r="B71" s="6">
        <v>45689</v>
      </c>
      <c r="C71" s="5" t="s">
        <v>16</v>
      </c>
      <c r="D71" s="5" t="s">
        <v>22</v>
      </c>
      <c r="E71" s="5">
        <v>36813.449999999997</v>
      </c>
      <c r="F71" s="5">
        <v>2834</v>
      </c>
      <c r="G71" s="5">
        <v>0.191</v>
      </c>
      <c r="H71" s="5">
        <v>11</v>
      </c>
      <c r="I71" s="5">
        <v>81.8</v>
      </c>
      <c r="J71" s="5">
        <v>2.33</v>
      </c>
      <c r="K71" s="5">
        <v>0</v>
      </c>
      <c r="L71" s="5">
        <v>3.3</v>
      </c>
      <c r="M71" s="5">
        <v>479050.5</v>
      </c>
      <c r="N71" s="5">
        <v>53651.11</v>
      </c>
    </row>
    <row r="72" spans="1:14" x14ac:dyDescent="0.3">
      <c r="A72" s="5" t="s">
        <v>43</v>
      </c>
      <c r="B72" s="6">
        <v>45717</v>
      </c>
      <c r="C72" s="5" t="s">
        <v>16</v>
      </c>
      <c r="D72" s="5" t="s">
        <v>22</v>
      </c>
      <c r="E72" s="5">
        <v>60571.82</v>
      </c>
      <c r="F72" s="5">
        <v>3193</v>
      </c>
      <c r="G72" s="5">
        <v>0.19700000000000001</v>
      </c>
      <c r="H72" s="5">
        <v>7</v>
      </c>
      <c r="I72" s="5">
        <v>99</v>
      </c>
      <c r="J72" s="5">
        <v>1.43</v>
      </c>
      <c r="K72" s="5">
        <v>0</v>
      </c>
      <c r="L72" s="5">
        <v>3.2</v>
      </c>
      <c r="M72" s="5">
        <v>605023.87</v>
      </c>
      <c r="N72" s="5">
        <v>98545.81</v>
      </c>
    </row>
    <row r="73" spans="1:14" x14ac:dyDescent="0.3">
      <c r="A73" s="5" t="s">
        <v>43</v>
      </c>
      <c r="B73" s="6">
        <v>45748</v>
      </c>
      <c r="C73" s="5" t="s">
        <v>16</v>
      </c>
      <c r="D73" s="5" t="s">
        <v>22</v>
      </c>
      <c r="E73" s="5">
        <v>55081.16</v>
      </c>
      <c r="F73" s="5">
        <v>5485</v>
      </c>
      <c r="G73" s="5">
        <v>3.5999999999999997E-2</v>
      </c>
      <c r="H73" s="5">
        <v>12</v>
      </c>
      <c r="I73" s="5">
        <v>88</v>
      </c>
      <c r="J73">
        <v>4.5590450000000002</v>
      </c>
      <c r="K73" s="5">
        <v>0</v>
      </c>
      <c r="L73" s="5">
        <v>3.5</v>
      </c>
      <c r="M73" s="5">
        <v>674774.09</v>
      </c>
      <c r="N73" s="5">
        <v>141917.59</v>
      </c>
    </row>
    <row r="74" spans="1:14" x14ac:dyDescent="0.3">
      <c r="A74" s="5" t="s">
        <v>44</v>
      </c>
      <c r="B74" s="6">
        <v>45658</v>
      </c>
      <c r="C74" s="5" t="s">
        <v>16</v>
      </c>
      <c r="D74" s="5" t="s">
        <v>17</v>
      </c>
      <c r="E74" s="5">
        <v>46201.46</v>
      </c>
      <c r="F74" s="5">
        <v>5918</v>
      </c>
      <c r="G74" s="5">
        <v>0.27700000000000002</v>
      </c>
      <c r="H74" s="5">
        <v>13</v>
      </c>
      <c r="I74" s="5">
        <v>78.8</v>
      </c>
      <c r="J74" s="5">
        <v>4.91</v>
      </c>
      <c r="K74" s="5">
        <v>0</v>
      </c>
      <c r="L74" s="5">
        <v>4.5</v>
      </c>
      <c r="M74" s="5">
        <v>616069.41</v>
      </c>
      <c r="N74" s="5">
        <v>54453.99</v>
      </c>
    </row>
    <row r="75" spans="1:14" x14ac:dyDescent="0.3">
      <c r="A75" s="5" t="s">
        <v>44</v>
      </c>
      <c r="B75" s="6">
        <v>45689</v>
      </c>
      <c r="C75" s="5" t="s">
        <v>16</v>
      </c>
      <c r="D75" s="5" t="s">
        <v>17</v>
      </c>
      <c r="E75" s="5">
        <v>53762.92</v>
      </c>
      <c r="F75" s="5">
        <v>6821</v>
      </c>
      <c r="G75" s="5">
        <v>6.6000000000000003E-2</v>
      </c>
      <c r="H75" s="5">
        <v>19</v>
      </c>
      <c r="I75" s="5">
        <v>94.6</v>
      </c>
      <c r="J75" s="5">
        <v>7.03</v>
      </c>
      <c r="K75" s="5">
        <v>0</v>
      </c>
      <c r="L75" s="5">
        <v>4.4000000000000004</v>
      </c>
      <c r="M75" s="5">
        <v>630829.93999999994</v>
      </c>
      <c r="N75" s="5">
        <v>117090.02</v>
      </c>
    </row>
    <row r="76" spans="1:14" x14ac:dyDescent="0.3">
      <c r="A76" s="5" t="s">
        <v>44</v>
      </c>
      <c r="B76" s="6">
        <v>45717</v>
      </c>
      <c r="C76" s="5" t="s">
        <v>16</v>
      </c>
      <c r="D76" s="5" t="s">
        <v>17</v>
      </c>
      <c r="E76" s="5">
        <v>70144.78</v>
      </c>
      <c r="F76" s="5">
        <v>6806</v>
      </c>
      <c r="G76" s="5">
        <v>0.17799999999999999</v>
      </c>
      <c r="H76" s="5">
        <v>20</v>
      </c>
      <c r="I76" s="5">
        <v>93.1</v>
      </c>
      <c r="J76" s="5">
        <v>0.28000000000000003</v>
      </c>
      <c r="K76" s="5">
        <v>1</v>
      </c>
      <c r="L76" s="5">
        <v>4.3</v>
      </c>
      <c r="M76" s="5">
        <v>788087.68</v>
      </c>
      <c r="N76" s="5">
        <v>116803.42</v>
      </c>
    </row>
    <row r="77" spans="1:14" x14ac:dyDescent="0.3">
      <c r="A77" s="5" t="s">
        <v>44</v>
      </c>
      <c r="B77" s="6">
        <v>45748</v>
      </c>
      <c r="C77" s="5" t="s">
        <v>16</v>
      </c>
      <c r="D77" s="5" t="s">
        <v>17</v>
      </c>
      <c r="E77" s="5">
        <v>58749.63</v>
      </c>
      <c r="F77" s="5">
        <v>8252</v>
      </c>
      <c r="G77" s="5">
        <v>0.20300000000000001</v>
      </c>
      <c r="H77" s="5">
        <v>20</v>
      </c>
      <c r="I77" s="5">
        <v>85.2</v>
      </c>
      <c r="J77" s="5">
        <v>3.61</v>
      </c>
      <c r="K77" s="5">
        <v>0</v>
      </c>
      <c r="L77" s="5">
        <v>4.5</v>
      </c>
      <c r="M77" s="5">
        <v>680840.36</v>
      </c>
      <c r="N77" s="5">
        <v>68007.679999999993</v>
      </c>
    </row>
    <row r="78" spans="1:14" x14ac:dyDescent="0.3">
      <c r="A78" s="5" t="s">
        <v>45</v>
      </c>
      <c r="B78" s="6">
        <v>45658</v>
      </c>
      <c r="C78" s="5" t="s">
        <v>28</v>
      </c>
      <c r="D78" s="5" t="s">
        <v>22</v>
      </c>
      <c r="E78" s="5">
        <v>56973.18</v>
      </c>
      <c r="F78" s="5">
        <v>6662</v>
      </c>
      <c r="G78" s="5">
        <v>0.1</v>
      </c>
      <c r="H78" s="5">
        <v>15</v>
      </c>
      <c r="I78" s="5">
        <v>77.7</v>
      </c>
      <c r="J78" s="5">
        <v>7.52</v>
      </c>
      <c r="K78" s="5">
        <v>1</v>
      </c>
      <c r="L78" s="5">
        <v>3.2</v>
      </c>
      <c r="M78" s="5">
        <v>643657.47</v>
      </c>
      <c r="N78" s="5">
        <v>87022.45</v>
      </c>
    </row>
    <row r="79" spans="1:14" x14ac:dyDescent="0.3">
      <c r="A79" s="5" t="s">
        <v>45</v>
      </c>
      <c r="B79" s="6">
        <v>45689</v>
      </c>
      <c r="C79" s="5" t="s">
        <v>28</v>
      </c>
      <c r="D79" s="5" t="s">
        <v>22</v>
      </c>
      <c r="E79" s="5">
        <v>54872.82</v>
      </c>
      <c r="F79" s="5">
        <v>5962</v>
      </c>
      <c r="G79" s="5">
        <v>6.4000000000000001E-2</v>
      </c>
      <c r="H79" s="5">
        <v>12</v>
      </c>
      <c r="I79" s="5">
        <v>85.4</v>
      </c>
      <c r="J79" s="5">
        <v>2.58</v>
      </c>
      <c r="K79" s="5">
        <v>0</v>
      </c>
      <c r="L79" s="5">
        <v>2.9</v>
      </c>
      <c r="M79" s="5">
        <v>691112.6</v>
      </c>
      <c r="N79" s="5">
        <v>109212.83</v>
      </c>
    </row>
    <row r="80" spans="1:14" x14ac:dyDescent="0.3">
      <c r="A80" s="5" t="s">
        <v>45</v>
      </c>
      <c r="B80" s="6">
        <v>45717</v>
      </c>
      <c r="C80" s="5" t="s">
        <v>28</v>
      </c>
      <c r="D80" s="5" t="s">
        <v>22</v>
      </c>
      <c r="E80" s="5">
        <v>80562.81</v>
      </c>
      <c r="F80" s="5">
        <v>7470</v>
      </c>
      <c r="G80" s="5">
        <v>0.17199999999999999</v>
      </c>
      <c r="H80" s="5">
        <v>16</v>
      </c>
      <c r="I80" s="5">
        <v>83.5</v>
      </c>
      <c r="J80" s="5">
        <v>2.29</v>
      </c>
      <c r="K80" s="5">
        <v>0</v>
      </c>
      <c r="L80" s="5">
        <v>3.3</v>
      </c>
      <c r="M80" s="5">
        <v>776922.17</v>
      </c>
      <c r="N80" s="5">
        <v>150701.93</v>
      </c>
    </row>
    <row r="81" spans="1:14" x14ac:dyDescent="0.3">
      <c r="A81" s="5" t="s">
        <v>45</v>
      </c>
      <c r="B81" s="6">
        <v>45748</v>
      </c>
      <c r="C81" s="5" t="s">
        <v>28</v>
      </c>
      <c r="D81" s="5" t="s">
        <v>22</v>
      </c>
      <c r="E81" s="5">
        <v>77999.899999999994</v>
      </c>
      <c r="F81" s="5">
        <v>5974</v>
      </c>
      <c r="G81" s="5">
        <v>0.252</v>
      </c>
      <c r="H81" s="5">
        <v>14</v>
      </c>
      <c r="I81" s="5">
        <v>81.3</v>
      </c>
      <c r="J81" s="5">
        <v>2.39</v>
      </c>
      <c r="K81" s="5">
        <v>0</v>
      </c>
      <c r="L81" s="5">
        <v>3.2</v>
      </c>
      <c r="M81" s="5">
        <v>636561.34</v>
      </c>
      <c r="N81" s="5">
        <v>93861.06</v>
      </c>
    </row>
    <row r="82" spans="1:14" x14ac:dyDescent="0.3">
      <c r="A82" s="5" t="s">
        <v>46</v>
      </c>
      <c r="B82" s="6">
        <v>45658</v>
      </c>
      <c r="C82" s="5" t="s">
        <v>31</v>
      </c>
      <c r="D82" s="5" t="s">
        <v>32</v>
      </c>
      <c r="E82" s="5">
        <v>60881.01</v>
      </c>
      <c r="F82" s="5">
        <v>5410</v>
      </c>
      <c r="G82" s="5">
        <v>0.17899999999999999</v>
      </c>
      <c r="H82" s="5">
        <v>15</v>
      </c>
      <c r="I82" s="5">
        <v>83.9</v>
      </c>
      <c r="J82" s="5">
        <v>5.24</v>
      </c>
      <c r="K82" s="5">
        <v>0</v>
      </c>
      <c r="L82" s="5">
        <v>4.5999999999999996</v>
      </c>
      <c r="M82" s="5">
        <v>621369.57999999996</v>
      </c>
      <c r="N82" s="5">
        <v>85493.64</v>
      </c>
    </row>
    <row r="83" spans="1:14" x14ac:dyDescent="0.3">
      <c r="A83" s="5" t="s">
        <v>46</v>
      </c>
      <c r="B83" s="6">
        <v>45689</v>
      </c>
      <c r="C83" s="5" t="s">
        <v>31</v>
      </c>
      <c r="D83" s="5" t="s">
        <v>32</v>
      </c>
      <c r="E83" s="5">
        <v>60628.38</v>
      </c>
      <c r="F83" s="5">
        <v>4451</v>
      </c>
      <c r="G83" s="5">
        <v>9.5000000000000001E-2</v>
      </c>
      <c r="H83" s="5">
        <v>10</v>
      </c>
      <c r="I83" s="5">
        <v>89.6</v>
      </c>
      <c r="J83" s="5">
        <v>3.17</v>
      </c>
      <c r="K83" s="5">
        <v>0</v>
      </c>
      <c r="L83" s="5">
        <v>4.5999999999999996</v>
      </c>
      <c r="M83" s="5">
        <v>682208.01</v>
      </c>
      <c r="N83" s="5">
        <v>110318.84</v>
      </c>
    </row>
    <row r="84" spans="1:14" x14ac:dyDescent="0.3">
      <c r="A84" s="5" t="s">
        <v>46</v>
      </c>
      <c r="B84" s="6">
        <v>45717</v>
      </c>
      <c r="C84" s="5" t="s">
        <v>31</v>
      </c>
      <c r="D84" s="5" t="s">
        <v>32</v>
      </c>
      <c r="E84" s="5">
        <v>72731.14</v>
      </c>
      <c r="F84" s="5">
        <v>4644</v>
      </c>
      <c r="G84" s="5">
        <v>8.4000000000000005E-2</v>
      </c>
      <c r="H84" s="5">
        <v>15</v>
      </c>
      <c r="I84" s="5">
        <v>87.1</v>
      </c>
      <c r="J84" s="5">
        <v>2.66</v>
      </c>
      <c r="K84" s="5">
        <v>0</v>
      </c>
      <c r="L84" s="5">
        <v>4.5999999999999996</v>
      </c>
      <c r="M84" s="5">
        <v>727241.86</v>
      </c>
      <c r="N84" s="5">
        <v>155810.29999999999</v>
      </c>
    </row>
    <row r="85" spans="1:14" x14ac:dyDescent="0.3">
      <c r="A85" s="5" t="s">
        <v>46</v>
      </c>
      <c r="B85" s="6">
        <v>45748</v>
      </c>
      <c r="C85" s="5" t="s">
        <v>31</v>
      </c>
      <c r="D85" s="5" t="s">
        <v>32</v>
      </c>
      <c r="E85" s="5">
        <v>36475.71</v>
      </c>
      <c r="F85" s="5">
        <v>3559</v>
      </c>
      <c r="G85" s="5">
        <v>0.03</v>
      </c>
      <c r="H85" s="5">
        <v>8</v>
      </c>
      <c r="I85" s="5">
        <v>83.6</v>
      </c>
      <c r="J85" s="5">
        <v>1.41</v>
      </c>
      <c r="K85" s="5">
        <v>0</v>
      </c>
      <c r="L85" s="5">
        <v>4.2</v>
      </c>
      <c r="M85" s="5">
        <v>569100.78</v>
      </c>
      <c r="N85" s="5">
        <v>104808.78</v>
      </c>
    </row>
    <row r="86" spans="1:14" x14ac:dyDescent="0.3">
      <c r="A86" s="5" t="s">
        <v>47</v>
      </c>
      <c r="B86" s="6">
        <v>45658</v>
      </c>
      <c r="C86" s="5" t="s">
        <v>31</v>
      </c>
      <c r="D86" s="5" t="s">
        <v>22</v>
      </c>
      <c r="E86" s="5">
        <v>55388.11</v>
      </c>
      <c r="F86" s="5">
        <v>3091</v>
      </c>
      <c r="G86" s="5">
        <v>0.108</v>
      </c>
      <c r="H86" s="5">
        <v>7</v>
      </c>
      <c r="I86" s="5">
        <v>85.4</v>
      </c>
      <c r="J86" s="5">
        <v>7.34</v>
      </c>
      <c r="K86" s="5">
        <v>0</v>
      </c>
      <c r="L86" s="5">
        <v>4.9000000000000004</v>
      </c>
      <c r="M86" s="5">
        <v>574436.29</v>
      </c>
      <c r="N86" s="5">
        <v>80271.990000000005</v>
      </c>
    </row>
    <row r="87" spans="1:14" x14ac:dyDescent="0.3">
      <c r="A87" s="5" t="s">
        <v>47</v>
      </c>
      <c r="B87" s="6">
        <v>45689</v>
      </c>
      <c r="C87" s="5" t="s">
        <v>31</v>
      </c>
      <c r="D87" s="5" t="s">
        <v>22</v>
      </c>
      <c r="E87" s="5">
        <v>88443.77</v>
      </c>
      <c r="F87" s="5">
        <v>4004</v>
      </c>
      <c r="G87" s="5">
        <v>0.20599999999999999</v>
      </c>
      <c r="H87" s="5">
        <v>11</v>
      </c>
      <c r="I87" s="5">
        <v>91.9</v>
      </c>
      <c r="J87" s="5">
        <v>5.95</v>
      </c>
      <c r="K87" s="5">
        <v>0</v>
      </c>
      <c r="L87" s="5">
        <v>3.9246789999999998</v>
      </c>
      <c r="M87" s="5">
        <v>611766.72</v>
      </c>
      <c r="N87" s="5">
        <v>88275.61</v>
      </c>
    </row>
    <row r="88" spans="1:14" x14ac:dyDescent="0.3">
      <c r="A88" s="5" t="s">
        <v>47</v>
      </c>
      <c r="B88" s="6">
        <v>45717</v>
      </c>
      <c r="C88" s="5" t="s">
        <v>31</v>
      </c>
      <c r="D88" s="5" t="s">
        <v>22</v>
      </c>
      <c r="E88" s="5">
        <v>78231.91</v>
      </c>
      <c r="F88" s="5">
        <v>3788</v>
      </c>
      <c r="G88" s="5">
        <v>5.8999999999999997E-2</v>
      </c>
      <c r="H88" s="5">
        <v>11</v>
      </c>
      <c r="I88" s="5">
        <v>88.5</v>
      </c>
      <c r="J88" s="5">
        <v>15.51</v>
      </c>
      <c r="K88" s="5">
        <v>0</v>
      </c>
      <c r="L88" s="5">
        <v>4.3</v>
      </c>
      <c r="M88" s="5">
        <v>614596.31999999995</v>
      </c>
      <c r="N88" s="5">
        <v>131199.41</v>
      </c>
    </row>
    <row r="89" spans="1:14" x14ac:dyDescent="0.3">
      <c r="A89" s="5" t="s">
        <v>47</v>
      </c>
      <c r="B89" s="6">
        <v>45748</v>
      </c>
      <c r="C89" s="5" t="s">
        <v>31</v>
      </c>
      <c r="D89" s="5" t="s">
        <v>22</v>
      </c>
      <c r="E89" s="5">
        <v>18996.32</v>
      </c>
      <c r="F89" s="5">
        <v>1260</v>
      </c>
      <c r="G89" s="5">
        <v>0.14499999999999999</v>
      </c>
      <c r="H89" s="5">
        <v>9</v>
      </c>
      <c r="I89" s="5">
        <v>86.4</v>
      </c>
      <c r="J89" s="5">
        <v>4.3099999999999996</v>
      </c>
      <c r="K89" s="5">
        <v>0</v>
      </c>
      <c r="L89" s="5">
        <v>4.5999999999999996</v>
      </c>
      <c r="M89" s="5">
        <v>450711.92</v>
      </c>
      <c r="N89" s="5">
        <v>90043.76</v>
      </c>
    </row>
    <row r="90" spans="1:14" x14ac:dyDescent="0.3">
      <c r="A90" s="5" t="s">
        <v>48</v>
      </c>
      <c r="B90" s="6">
        <v>45658</v>
      </c>
      <c r="C90" s="5" t="s">
        <v>28</v>
      </c>
      <c r="D90" s="5" t="s">
        <v>32</v>
      </c>
      <c r="E90" s="5">
        <v>50517.94</v>
      </c>
      <c r="F90" s="5">
        <v>7024</v>
      </c>
      <c r="G90" s="5">
        <v>2.9000000000000001E-2</v>
      </c>
      <c r="H90" s="5">
        <v>18</v>
      </c>
      <c r="I90" s="5">
        <v>79.2</v>
      </c>
      <c r="J90" s="5">
        <v>6.61</v>
      </c>
      <c r="K90" s="5">
        <v>1</v>
      </c>
      <c r="L90" s="5">
        <v>4.0999999999999996</v>
      </c>
      <c r="M90" s="5">
        <v>711213.46</v>
      </c>
      <c r="N90" s="5">
        <v>105863.26</v>
      </c>
    </row>
    <row r="91" spans="1:14" x14ac:dyDescent="0.3">
      <c r="A91" s="5" t="s">
        <v>48</v>
      </c>
      <c r="B91" s="6">
        <v>45689</v>
      </c>
      <c r="C91" s="5" t="s">
        <v>28</v>
      </c>
      <c r="D91" s="5" t="s">
        <v>32</v>
      </c>
      <c r="E91" s="5">
        <v>141540.29</v>
      </c>
      <c r="F91" s="5">
        <v>5400</v>
      </c>
      <c r="G91" s="5">
        <v>1.2999999999999999E-2</v>
      </c>
      <c r="H91" s="5">
        <v>12</v>
      </c>
      <c r="I91" s="5">
        <v>87</v>
      </c>
      <c r="J91" s="5">
        <v>4.26</v>
      </c>
      <c r="K91" s="5">
        <v>0</v>
      </c>
      <c r="L91" s="5">
        <v>4.5</v>
      </c>
      <c r="M91" s="5">
        <v>627171.9</v>
      </c>
      <c r="N91" s="5">
        <v>105772.75</v>
      </c>
    </row>
    <row r="92" spans="1:14" x14ac:dyDescent="0.3">
      <c r="A92" s="5" t="s">
        <v>48</v>
      </c>
      <c r="B92" s="6">
        <v>45717</v>
      </c>
      <c r="C92" s="5" t="s">
        <v>28</v>
      </c>
      <c r="D92" s="5" t="s">
        <v>32</v>
      </c>
      <c r="E92" s="5">
        <v>82116.19</v>
      </c>
      <c r="F92" s="5">
        <v>5988</v>
      </c>
      <c r="G92" s="5">
        <v>0.04</v>
      </c>
      <c r="H92" s="5">
        <v>17</v>
      </c>
      <c r="I92" s="5">
        <v>91.8</v>
      </c>
      <c r="J92" s="5">
        <v>5.75</v>
      </c>
      <c r="K92" s="5">
        <v>0</v>
      </c>
      <c r="L92" s="5">
        <v>4.7</v>
      </c>
      <c r="M92" s="5">
        <v>739852.58</v>
      </c>
      <c r="N92" s="5">
        <v>129386.43</v>
      </c>
    </row>
    <row r="93" spans="1:14" x14ac:dyDescent="0.3">
      <c r="A93" s="5" t="s">
        <v>48</v>
      </c>
      <c r="B93" s="6">
        <v>45748</v>
      </c>
      <c r="C93" s="5" t="s">
        <v>28</v>
      </c>
      <c r="D93" s="5" t="s">
        <v>32</v>
      </c>
      <c r="E93" s="5">
        <v>31207.51</v>
      </c>
      <c r="F93" s="5">
        <v>3701</v>
      </c>
      <c r="G93" s="5">
        <v>4.2999999999999997E-2</v>
      </c>
      <c r="H93" s="5">
        <v>11</v>
      </c>
      <c r="I93" s="5">
        <v>84.7</v>
      </c>
      <c r="J93" s="5">
        <v>0.33</v>
      </c>
      <c r="K93" s="5">
        <v>0</v>
      </c>
      <c r="L93" s="5">
        <v>4.3</v>
      </c>
      <c r="M93" s="5">
        <v>586307.22</v>
      </c>
      <c r="N93" s="5">
        <v>73927.850000000006</v>
      </c>
    </row>
    <row r="94" spans="1:14" x14ac:dyDescent="0.3">
      <c r="A94" s="5" t="s">
        <v>49</v>
      </c>
      <c r="B94" s="6">
        <v>45658</v>
      </c>
      <c r="C94" s="5" t="s">
        <v>31</v>
      </c>
      <c r="D94" s="5" t="s">
        <v>17</v>
      </c>
      <c r="E94" s="5">
        <v>38966.589999999997</v>
      </c>
      <c r="F94" s="5">
        <v>4509</v>
      </c>
      <c r="G94" s="5">
        <v>0.19400000000000001</v>
      </c>
      <c r="H94" s="5">
        <v>14</v>
      </c>
      <c r="I94" s="5">
        <v>91.1</v>
      </c>
      <c r="J94" s="5">
        <v>2.92</v>
      </c>
      <c r="K94" s="5">
        <v>0</v>
      </c>
      <c r="L94" s="5">
        <v>4.5999999999999996</v>
      </c>
      <c r="M94" s="5">
        <v>585937.48</v>
      </c>
      <c r="N94" s="5">
        <v>82624.2</v>
      </c>
    </row>
    <row r="95" spans="1:14" x14ac:dyDescent="0.3">
      <c r="A95" s="5" t="s">
        <v>49</v>
      </c>
      <c r="B95" s="6">
        <v>45689</v>
      </c>
      <c r="C95" s="5" t="s">
        <v>31</v>
      </c>
      <c r="D95" s="5" t="s">
        <v>17</v>
      </c>
      <c r="E95" s="5">
        <v>67439.3</v>
      </c>
      <c r="F95" s="5">
        <v>6477</v>
      </c>
      <c r="G95" s="5">
        <v>0</v>
      </c>
      <c r="H95" s="5">
        <v>16</v>
      </c>
      <c r="I95" s="5">
        <v>90.9</v>
      </c>
      <c r="J95" s="5">
        <v>1.64</v>
      </c>
      <c r="K95" s="5">
        <v>0</v>
      </c>
      <c r="L95" s="5">
        <v>4.5</v>
      </c>
      <c r="M95" s="5">
        <v>753473.55</v>
      </c>
      <c r="N95" s="5">
        <v>151527.22</v>
      </c>
    </row>
    <row r="96" spans="1:14" x14ac:dyDescent="0.3">
      <c r="A96" s="5" t="s">
        <v>49</v>
      </c>
      <c r="B96" s="6">
        <v>45717</v>
      </c>
      <c r="C96" s="5" t="s">
        <v>31</v>
      </c>
      <c r="D96" s="5" t="s">
        <v>17</v>
      </c>
      <c r="E96" s="5">
        <v>86421.88</v>
      </c>
      <c r="F96" s="5">
        <v>7970</v>
      </c>
      <c r="G96" s="5">
        <v>7.2999999999999995E-2</v>
      </c>
      <c r="H96" s="5">
        <v>17</v>
      </c>
      <c r="I96" s="5">
        <v>91.3</v>
      </c>
      <c r="J96" s="5">
        <v>0.8</v>
      </c>
      <c r="K96" s="5">
        <v>0</v>
      </c>
      <c r="L96" s="5">
        <v>5</v>
      </c>
      <c r="M96" s="5">
        <v>838250.32</v>
      </c>
      <c r="N96" s="5">
        <v>122939.34</v>
      </c>
    </row>
    <row r="97" spans="1:14" x14ac:dyDescent="0.3">
      <c r="A97" s="5" t="s">
        <v>49</v>
      </c>
      <c r="B97" s="6">
        <v>45748</v>
      </c>
      <c r="C97" s="5" t="s">
        <v>31</v>
      </c>
      <c r="D97" s="5" t="s">
        <v>17</v>
      </c>
      <c r="E97" s="5">
        <v>9534.65</v>
      </c>
      <c r="F97" s="5">
        <v>6057</v>
      </c>
      <c r="G97" s="5">
        <v>7.3999999999999996E-2</v>
      </c>
      <c r="H97" s="5">
        <v>15</v>
      </c>
      <c r="I97" s="5">
        <v>94.1</v>
      </c>
      <c r="J97" s="5">
        <v>5.79</v>
      </c>
      <c r="K97" s="5">
        <v>0</v>
      </c>
      <c r="L97" s="5">
        <v>4.5</v>
      </c>
      <c r="M97" s="5">
        <v>607898.12</v>
      </c>
      <c r="N97" s="5">
        <v>135404.85</v>
      </c>
    </row>
    <row r="98" spans="1:14" x14ac:dyDescent="0.3">
      <c r="A98" s="5" t="s">
        <v>50</v>
      </c>
      <c r="B98" s="6">
        <v>45658</v>
      </c>
      <c r="C98" s="5" t="s">
        <v>31</v>
      </c>
      <c r="D98" s="5" t="s">
        <v>32</v>
      </c>
      <c r="E98" s="5">
        <v>61132.07</v>
      </c>
      <c r="F98" s="5">
        <v>6394</v>
      </c>
      <c r="G98" s="5">
        <v>0.16300000000000001</v>
      </c>
      <c r="H98" s="5">
        <v>19</v>
      </c>
      <c r="I98" s="5">
        <v>91</v>
      </c>
      <c r="J98" s="5">
        <v>19.600000000000001</v>
      </c>
      <c r="K98" s="5">
        <v>0</v>
      </c>
      <c r="L98" s="5">
        <v>4.4000000000000004</v>
      </c>
      <c r="M98" s="5">
        <v>691113.62</v>
      </c>
      <c r="N98" s="5">
        <v>135145.44</v>
      </c>
    </row>
    <row r="99" spans="1:14" x14ac:dyDescent="0.3">
      <c r="A99" s="5" t="s">
        <v>50</v>
      </c>
      <c r="B99" s="6">
        <v>45689</v>
      </c>
      <c r="C99" s="5" t="s">
        <v>31</v>
      </c>
      <c r="D99" s="5" t="s">
        <v>32</v>
      </c>
      <c r="E99" s="5">
        <v>78839.39</v>
      </c>
      <c r="F99" s="5">
        <v>5150</v>
      </c>
      <c r="G99" s="5">
        <v>0.17100000000000001</v>
      </c>
      <c r="H99" s="5">
        <v>13</v>
      </c>
      <c r="I99" s="5">
        <v>85.8</v>
      </c>
      <c r="J99" s="5">
        <v>7.57</v>
      </c>
      <c r="K99" s="5">
        <v>0</v>
      </c>
      <c r="L99" s="5">
        <v>4.3</v>
      </c>
      <c r="M99" s="5">
        <v>735509.4</v>
      </c>
      <c r="N99" s="5">
        <v>83895.96</v>
      </c>
    </row>
    <row r="100" spans="1:14" x14ac:dyDescent="0.3">
      <c r="A100" s="5" t="s">
        <v>50</v>
      </c>
      <c r="B100" s="6">
        <v>45717</v>
      </c>
      <c r="C100" s="5" t="s">
        <v>31</v>
      </c>
      <c r="D100" s="5" t="s">
        <v>32</v>
      </c>
      <c r="E100" s="5">
        <v>38752.800000000003</v>
      </c>
      <c r="F100" s="5">
        <v>4712</v>
      </c>
      <c r="G100" s="5">
        <v>7.4999999999999997E-2</v>
      </c>
      <c r="H100" s="5">
        <v>15</v>
      </c>
      <c r="I100" s="5">
        <v>89.7</v>
      </c>
      <c r="J100">
        <v>4.5590450000000002</v>
      </c>
      <c r="K100" s="5">
        <v>0</v>
      </c>
      <c r="L100" s="5">
        <v>4.3</v>
      </c>
      <c r="M100" s="5">
        <v>605775.32999999996</v>
      </c>
      <c r="N100" s="5">
        <v>107194.6</v>
      </c>
    </row>
    <row r="101" spans="1:14" x14ac:dyDescent="0.3">
      <c r="A101" s="5" t="s">
        <v>50</v>
      </c>
      <c r="B101" s="6">
        <v>45748</v>
      </c>
      <c r="C101" s="5" t="s">
        <v>31</v>
      </c>
      <c r="D101" s="5" t="s">
        <v>32</v>
      </c>
      <c r="E101" s="5">
        <v>55101.1</v>
      </c>
      <c r="F101" s="5">
        <v>5281</v>
      </c>
      <c r="G101" s="5">
        <v>0.189</v>
      </c>
      <c r="H101" s="5">
        <v>11</v>
      </c>
      <c r="I101" s="5">
        <v>91</v>
      </c>
      <c r="J101" s="5">
        <v>2.7</v>
      </c>
      <c r="K101" s="5">
        <v>0</v>
      </c>
      <c r="L101" s="5">
        <v>4.4000000000000004</v>
      </c>
      <c r="M101" s="5">
        <v>675177.68</v>
      </c>
      <c r="N101" s="5">
        <v>105628.68</v>
      </c>
    </row>
    <row r="102" spans="1:14" x14ac:dyDescent="0.3">
      <c r="A102" s="5" t="s">
        <v>51</v>
      </c>
      <c r="B102" s="6">
        <v>45658</v>
      </c>
      <c r="C102" s="5" t="s">
        <v>16</v>
      </c>
      <c r="D102" s="5" t="s">
        <v>32</v>
      </c>
      <c r="E102" s="5">
        <v>53084.76</v>
      </c>
      <c r="F102" s="5">
        <v>3642</v>
      </c>
      <c r="G102" s="5">
        <v>0.15</v>
      </c>
      <c r="H102" s="5">
        <v>12</v>
      </c>
      <c r="I102" s="5">
        <v>91.4</v>
      </c>
      <c r="J102" s="5">
        <v>0.2</v>
      </c>
      <c r="K102" s="5">
        <v>0</v>
      </c>
      <c r="L102" s="5">
        <v>4.4000000000000004</v>
      </c>
      <c r="M102" s="5">
        <v>635181.35</v>
      </c>
      <c r="N102" s="5">
        <v>83341.25</v>
      </c>
    </row>
    <row r="103" spans="1:14" x14ac:dyDescent="0.3">
      <c r="A103" s="5" t="s">
        <v>51</v>
      </c>
      <c r="B103" s="6">
        <v>45689</v>
      </c>
      <c r="C103" s="5" t="s">
        <v>16</v>
      </c>
      <c r="D103" s="5" t="s">
        <v>32</v>
      </c>
      <c r="E103" s="5">
        <v>63101.59</v>
      </c>
      <c r="F103" s="5">
        <v>4373</v>
      </c>
      <c r="G103" s="5">
        <v>0.17299999999999999</v>
      </c>
      <c r="H103" s="5">
        <v>14</v>
      </c>
      <c r="I103" s="5">
        <v>90.4</v>
      </c>
      <c r="J103" s="5">
        <v>7.87</v>
      </c>
      <c r="K103" s="5">
        <v>0</v>
      </c>
      <c r="L103" s="5">
        <v>4.7</v>
      </c>
      <c r="M103" s="5">
        <v>586626.93999999994</v>
      </c>
      <c r="N103" s="5">
        <v>86498.55</v>
      </c>
    </row>
    <row r="104" spans="1:14" x14ac:dyDescent="0.3">
      <c r="A104" s="5" t="s">
        <v>51</v>
      </c>
      <c r="B104" s="6">
        <v>45717</v>
      </c>
      <c r="C104" s="5" t="s">
        <v>16</v>
      </c>
      <c r="D104" s="5" t="s">
        <v>32</v>
      </c>
      <c r="E104" s="5">
        <v>90084.4</v>
      </c>
      <c r="F104" s="5">
        <v>6832</v>
      </c>
      <c r="G104" s="5">
        <v>0.185</v>
      </c>
      <c r="H104" s="5">
        <v>14</v>
      </c>
      <c r="I104" s="5">
        <v>80.5</v>
      </c>
      <c r="J104" s="5">
        <v>0.77</v>
      </c>
      <c r="K104" s="5">
        <v>1</v>
      </c>
      <c r="L104" s="5">
        <v>4.4000000000000004</v>
      </c>
      <c r="M104" s="5">
        <v>740102.64</v>
      </c>
      <c r="N104" s="5">
        <v>114299.07</v>
      </c>
    </row>
    <row r="105" spans="1:14" x14ac:dyDescent="0.3">
      <c r="A105" s="5" t="s">
        <v>51</v>
      </c>
      <c r="B105" s="6">
        <v>45748</v>
      </c>
      <c r="C105" s="5" t="s">
        <v>16</v>
      </c>
      <c r="D105" s="5" t="s">
        <v>32</v>
      </c>
      <c r="E105" s="5">
        <v>32266.639999999999</v>
      </c>
      <c r="F105" s="5">
        <v>2414</v>
      </c>
      <c r="G105" s="5">
        <v>0.08</v>
      </c>
      <c r="H105" s="5">
        <v>7</v>
      </c>
      <c r="I105" s="5">
        <v>92.1</v>
      </c>
      <c r="J105" s="5">
        <v>1.48</v>
      </c>
      <c r="K105" s="5">
        <v>0</v>
      </c>
      <c r="L105" s="5">
        <v>5</v>
      </c>
      <c r="M105" s="5">
        <v>625514.04</v>
      </c>
      <c r="N105" s="5">
        <v>120685.08</v>
      </c>
    </row>
    <row r="106" spans="1:14" x14ac:dyDescent="0.3">
      <c r="A106" s="5" t="s">
        <v>52</v>
      </c>
      <c r="B106" s="6">
        <v>45658</v>
      </c>
      <c r="C106" s="5" t="s">
        <v>31</v>
      </c>
      <c r="D106" s="5" t="s">
        <v>22</v>
      </c>
      <c r="E106" s="5">
        <v>57919.07</v>
      </c>
      <c r="F106" s="5">
        <v>7374</v>
      </c>
      <c r="G106" s="5">
        <v>0.10299999999999999</v>
      </c>
      <c r="H106" s="5">
        <v>21</v>
      </c>
      <c r="I106" s="5">
        <v>82.3</v>
      </c>
      <c r="J106" s="5">
        <v>2.87</v>
      </c>
      <c r="K106" s="5">
        <v>0</v>
      </c>
      <c r="L106" s="5">
        <v>2.9</v>
      </c>
      <c r="M106" s="5">
        <v>727227.2</v>
      </c>
      <c r="N106" s="5">
        <v>121292.01</v>
      </c>
    </row>
    <row r="107" spans="1:14" x14ac:dyDescent="0.3">
      <c r="A107" s="5" t="s">
        <v>52</v>
      </c>
      <c r="B107" s="6">
        <v>45689</v>
      </c>
      <c r="C107" s="5" t="s">
        <v>31</v>
      </c>
      <c r="D107" s="5" t="s">
        <v>22</v>
      </c>
      <c r="E107" s="5">
        <v>74679.350000000006</v>
      </c>
      <c r="F107" s="5">
        <v>8739</v>
      </c>
      <c r="G107" s="5">
        <v>5.6000000000000001E-2</v>
      </c>
      <c r="H107" s="5">
        <v>21</v>
      </c>
      <c r="I107" s="5">
        <v>91.8</v>
      </c>
      <c r="J107" s="5">
        <v>2.83</v>
      </c>
      <c r="K107" s="5">
        <v>0</v>
      </c>
      <c r="L107" s="5">
        <v>3</v>
      </c>
      <c r="M107" s="5">
        <v>783797.89</v>
      </c>
      <c r="N107" s="5">
        <v>157620.70000000001</v>
      </c>
    </row>
    <row r="108" spans="1:14" x14ac:dyDescent="0.3">
      <c r="A108" s="5" t="s">
        <v>52</v>
      </c>
      <c r="B108" s="6">
        <v>45717</v>
      </c>
      <c r="C108" s="5" t="s">
        <v>31</v>
      </c>
      <c r="D108" s="5" t="s">
        <v>22</v>
      </c>
      <c r="E108" s="5">
        <v>64294.23</v>
      </c>
      <c r="F108" s="5">
        <v>6992</v>
      </c>
      <c r="G108" s="5">
        <v>0.13300000000000001</v>
      </c>
      <c r="H108" s="5">
        <v>14</v>
      </c>
      <c r="I108" s="5">
        <v>94.1</v>
      </c>
      <c r="J108" s="5">
        <v>0.25</v>
      </c>
      <c r="K108" s="5">
        <v>0</v>
      </c>
      <c r="L108" s="5">
        <v>3</v>
      </c>
      <c r="M108" s="5">
        <v>795153.84</v>
      </c>
      <c r="N108" s="5">
        <v>143194.21</v>
      </c>
    </row>
    <row r="109" spans="1:14" x14ac:dyDescent="0.3">
      <c r="A109" s="5" t="s">
        <v>52</v>
      </c>
      <c r="B109" s="6">
        <v>45748</v>
      </c>
      <c r="C109" s="5" t="s">
        <v>31</v>
      </c>
      <c r="D109" s="5" t="s">
        <v>22</v>
      </c>
      <c r="E109" s="5">
        <v>31042.03</v>
      </c>
      <c r="F109" s="5">
        <v>7107</v>
      </c>
      <c r="G109" s="5">
        <v>5.0999999999999997E-2</v>
      </c>
      <c r="H109" s="5">
        <v>15</v>
      </c>
      <c r="I109" s="5">
        <v>87</v>
      </c>
      <c r="J109" s="5">
        <v>13.33</v>
      </c>
      <c r="K109" s="5">
        <v>0</v>
      </c>
      <c r="L109" s="5">
        <v>3.2</v>
      </c>
      <c r="M109" s="5">
        <v>665594.93999999994</v>
      </c>
      <c r="N109" s="5">
        <v>127597.34</v>
      </c>
    </row>
    <row r="110" spans="1:14" x14ac:dyDescent="0.3">
      <c r="A110" s="5" t="s">
        <v>53</v>
      </c>
      <c r="B110" s="6">
        <v>45658</v>
      </c>
      <c r="C110" s="5" t="s">
        <v>16</v>
      </c>
      <c r="D110" s="5" t="s">
        <v>32</v>
      </c>
      <c r="E110" s="5">
        <v>75265.02</v>
      </c>
      <c r="F110" s="5">
        <v>6975</v>
      </c>
      <c r="G110" s="5">
        <v>0.157</v>
      </c>
      <c r="H110" s="5">
        <v>20</v>
      </c>
      <c r="I110" s="5">
        <v>73.8</v>
      </c>
      <c r="J110" s="5">
        <v>6.35</v>
      </c>
      <c r="K110" s="5">
        <v>1</v>
      </c>
      <c r="L110" s="5">
        <v>3.8</v>
      </c>
      <c r="M110" s="5">
        <v>709478.39</v>
      </c>
      <c r="N110" s="5">
        <v>71294.27</v>
      </c>
    </row>
    <row r="111" spans="1:14" x14ac:dyDescent="0.3">
      <c r="A111" s="5" t="s">
        <v>53</v>
      </c>
      <c r="B111" s="6">
        <v>45689</v>
      </c>
      <c r="C111" s="5" t="s">
        <v>16</v>
      </c>
      <c r="D111" s="5" t="s">
        <v>32</v>
      </c>
      <c r="E111" s="5">
        <v>69411.7</v>
      </c>
      <c r="F111" s="5">
        <v>5493</v>
      </c>
      <c r="G111" s="5">
        <v>0.29199999999999998</v>
      </c>
      <c r="H111" s="5">
        <v>13</v>
      </c>
      <c r="I111" s="5">
        <v>86.5</v>
      </c>
      <c r="J111" s="5">
        <v>6.69</v>
      </c>
      <c r="K111" s="5">
        <v>0</v>
      </c>
      <c r="L111" s="5">
        <v>3.8</v>
      </c>
      <c r="M111" s="5">
        <v>664162.49</v>
      </c>
      <c r="N111" s="5">
        <v>98291.06</v>
      </c>
    </row>
    <row r="112" spans="1:14" x14ac:dyDescent="0.3">
      <c r="A112" s="5" t="s">
        <v>53</v>
      </c>
      <c r="B112" s="6">
        <v>45717</v>
      </c>
      <c r="C112" s="5" t="s">
        <v>16</v>
      </c>
      <c r="D112" s="5" t="s">
        <v>32</v>
      </c>
      <c r="E112" s="5">
        <v>51056.15</v>
      </c>
      <c r="F112" s="5">
        <v>5686</v>
      </c>
      <c r="G112" s="5">
        <v>8.8999999999999996E-2</v>
      </c>
      <c r="H112" s="5">
        <v>13</v>
      </c>
      <c r="I112" s="5">
        <v>89.9</v>
      </c>
      <c r="J112" s="5">
        <v>1.28</v>
      </c>
      <c r="K112" s="5">
        <v>0</v>
      </c>
      <c r="L112" s="5">
        <v>4.2</v>
      </c>
      <c r="M112" s="5">
        <v>633494.21</v>
      </c>
      <c r="N112" s="5">
        <v>105739.47</v>
      </c>
    </row>
    <row r="113" spans="1:14" x14ac:dyDescent="0.3">
      <c r="A113" s="5" t="s">
        <v>53</v>
      </c>
      <c r="B113" s="6">
        <v>45748</v>
      </c>
      <c r="C113" s="5" t="s">
        <v>16</v>
      </c>
      <c r="D113" s="5" t="s">
        <v>32</v>
      </c>
      <c r="E113" s="5">
        <v>52758.01</v>
      </c>
      <c r="F113" s="5">
        <v>4063</v>
      </c>
      <c r="G113" s="5">
        <v>5.7000000000000002E-2</v>
      </c>
      <c r="H113" s="5">
        <v>12</v>
      </c>
      <c r="I113" s="5">
        <v>91.7</v>
      </c>
      <c r="J113" s="5">
        <v>0.92</v>
      </c>
      <c r="K113" s="5">
        <v>0</v>
      </c>
      <c r="L113" s="5">
        <v>3.5</v>
      </c>
      <c r="M113" s="5">
        <v>713611.16</v>
      </c>
      <c r="N113" s="5">
        <v>129717.18</v>
      </c>
    </row>
    <row r="114" spans="1:14" x14ac:dyDescent="0.3">
      <c r="A114" s="5" t="s">
        <v>54</v>
      </c>
      <c r="B114" s="6">
        <v>45658</v>
      </c>
      <c r="C114" s="5" t="s">
        <v>31</v>
      </c>
      <c r="D114" s="5" t="s">
        <v>32</v>
      </c>
      <c r="E114" s="5">
        <v>61426.04</v>
      </c>
      <c r="F114" s="5">
        <v>8966</v>
      </c>
      <c r="G114" s="5">
        <v>0.17299999999999999</v>
      </c>
      <c r="H114" s="5">
        <v>22</v>
      </c>
      <c r="I114" s="5">
        <v>76.400000000000006</v>
      </c>
      <c r="J114" s="5">
        <v>1.05</v>
      </c>
      <c r="K114" s="5">
        <v>0</v>
      </c>
      <c r="L114" s="5">
        <v>3.1</v>
      </c>
      <c r="M114" s="5">
        <v>778397.97</v>
      </c>
      <c r="N114" s="5">
        <v>120044.41</v>
      </c>
    </row>
    <row r="115" spans="1:14" x14ac:dyDescent="0.3">
      <c r="A115" s="5" t="s">
        <v>54</v>
      </c>
      <c r="B115" s="6">
        <v>45689</v>
      </c>
      <c r="C115" s="5" t="s">
        <v>31</v>
      </c>
      <c r="D115" s="5" t="s">
        <v>32</v>
      </c>
      <c r="E115" s="5">
        <v>80176.34</v>
      </c>
      <c r="F115" s="5">
        <v>9489</v>
      </c>
      <c r="G115" s="5">
        <v>0.14199999999999999</v>
      </c>
      <c r="H115" s="5">
        <v>22</v>
      </c>
      <c r="I115" s="5">
        <v>94.3</v>
      </c>
      <c r="J115" s="5">
        <v>2.67</v>
      </c>
      <c r="K115" s="5">
        <v>0</v>
      </c>
      <c r="L115" s="5">
        <v>3.5</v>
      </c>
      <c r="M115" s="5">
        <v>873380.02</v>
      </c>
      <c r="N115" s="5">
        <v>149734.76</v>
      </c>
    </row>
    <row r="116" spans="1:14" x14ac:dyDescent="0.3">
      <c r="A116" s="5" t="s">
        <v>54</v>
      </c>
      <c r="B116" s="6">
        <v>45717</v>
      </c>
      <c r="C116" s="5" t="s">
        <v>31</v>
      </c>
      <c r="D116" s="5" t="s">
        <v>32</v>
      </c>
      <c r="E116" s="5">
        <v>33605.18</v>
      </c>
      <c r="F116" s="5">
        <v>9225</v>
      </c>
      <c r="G116" s="5">
        <v>0.159</v>
      </c>
      <c r="H116" s="5">
        <v>23</v>
      </c>
      <c r="I116" s="5">
        <v>88.4</v>
      </c>
      <c r="J116" s="5">
        <v>5.91</v>
      </c>
      <c r="K116" s="5">
        <v>0</v>
      </c>
      <c r="L116" s="5">
        <v>2.8</v>
      </c>
      <c r="M116" s="5">
        <v>697287.9</v>
      </c>
      <c r="N116" s="5">
        <v>128208.33</v>
      </c>
    </row>
    <row r="117" spans="1:14" x14ac:dyDescent="0.3">
      <c r="A117" s="5" t="s">
        <v>54</v>
      </c>
      <c r="B117" s="6">
        <v>45748</v>
      </c>
      <c r="C117" s="5" t="s">
        <v>31</v>
      </c>
      <c r="D117" s="5" t="s">
        <v>32</v>
      </c>
      <c r="E117" s="5">
        <v>25990.54</v>
      </c>
      <c r="F117" s="5">
        <v>9249</v>
      </c>
      <c r="G117" s="5">
        <v>0.13900000000000001</v>
      </c>
      <c r="H117" s="5">
        <v>23</v>
      </c>
      <c r="I117" s="5">
        <v>92.5</v>
      </c>
      <c r="J117" s="5">
        <v>6.37</v>
      </c>
      <c r="K117" s="5">
        <v>0</v>
      </c>
      <c r="L117" s="5">
        <v>3.3</v>
      </c>
      <c r="M117" s="5">
        <v>718074.79</v>
      </c>
      <c r="N117" s="5">
        <v>115819.87</v>
      </c>
    </row>
    <row r="118" spans="1:14" x14ac:dyDescent="0.3">
      <c r="A118" s="5" t="s">
        <v>55</v>
      </c>
      <c r="B118" s="6">
        <v>45658</v>
      </c>
      <c r="C118" s="5" t="s">
        <v>31</v>
      </c>
      <c r="D118" s="5" t="s">
        <v>17</v>
      </c>
      <c r="E118" s="5">
        <v>43685.14</v>
      </c>
      <c r="F118" s="5">
        <v>7821</v>
      </c>
      <c r="G118" s="5">
        <v>0.19</v>
      </c>
      <c r="H118" s="5">
        <v>17</v>
      </c>
      <c r="I118" s="5">
        <v>91</v>
      </c>
      <c r="J118" s="5">
        <v>2.4900000000000002</v>
      </c>
      <c r="K118" s="5">
        <v>1</v>
      </c>
      <c r="L118" s="5">
        <v>4.7</v>
      </c>
      <c r="M118" s="5">
        <v>714942.43</v>
      </c>
      <c r="N118" s="5">
        <v>94697.71</v>
      </c>
    </row>
    <row r="119" spans="1:14" x14ac:dyDescent="0.3">
      <c r="A119" s="5" t="s">
        <v>55</v>
      </c>
      <c r="B119" s="6">
        <v>45689</v>
      </c>
      <c r="C119" s="5" t="s">
        <v>31</v>
      </c>
      <c r="D119" s="5" t="s">
        <v>17</v>
      </c>
      <c r="E119" s="5">
        <v>57360.01</v>
      </c>
      <c r="F119" s="5">
        <v>8434</v>
      </c>
      <c r="G119" s="5">
        <v>0.151</v>
      </c>
      <c r="H119" s="5">
        <v>19</v>
      </c>
      <c r="I119" s="5">
        <v>84.1</v>
      </c>
      <c r="J119" s="5">
        <v>1.56</v>
      </c>
      <c r="K119" s="5">
        <v>0</v>
      </c>
      <c r="L119" s="5">
        <v>4.7</v>
      </c>
      <c r="M119" s="5">
        <v>820519.04</v>
      </c>
      <c r="N119" s="5">
        <v>99035.88</v>
      </c>
    </row>
    <row r="120" spans="1:14" x14ac:dyDescent="0.3">
      <c r="A120" s="5" t="s">
        <v>55</v>
      </c>
      <c r="B120" s="6">
        <v>45717</v>
      </c>
      <c r="C120" s="5" t="s">
        <v>31</v>
      </c>
      <c r="D120" s="5" t="s">
        <v>17</v>
      </c>
      <c r="E120" s="5">
        <v>42415.47</v>
      </c>
      <c r="F120" s="5">
        <v>8512</v>
      </c>
      <c r="G120" s="5">
        <v>0.13300000000000001</v>
      </c>
      <c r="H120" s="5">
        <v>18</v>
      </c>
      <c r="I120" s="5">
        <v>96.8</v>
      </c>
      <c r="J120" s="5">
        <v>14.95</v>
      </c>
      <c r="K120" s="5">
        <v>0</v>
      </c>
      <c r="L120" s="5">
        <v>4.5999999999999996</v>
      </c>
      <c r="M120" s="5">
        <v>684217.32</v>
      </c>
      <c r="N120" s="5">
        <v>136217.19</v>
      </c>
    </row>
    <row r="121" spans="1:14" x14ac:dyDescent="0.3">
      <c r="A121" s="5" t="s">
        <v>55</v>
      </c>
      <c r="B121" s="6">
        <v>45748</v>
      </c>
      <c r="C121" s="5" t="s">
        <v>31</v>
      </c>
      <c r="D121" s="5" t="s">
        <v>17</v>
      </c>
      <c r="E121" s="5">
        <v>54968.98</v>
      </c>
      <c r="F121" s="5">
        <v>7816</v>
      </c>
      <c r="G121" s="5">
        <v>0.23200000000000001</v>
      </c>
      <c r="H121" s="5">
        <v>19</v>
      </c>
      <c r="I121" s="5">
        <v>95.7</v>
      </c>
      <c r="J121" s="5">
        <v>7.85</v>
      </c>
      <c r="K121" s="5">
        <v>0</v>
      </c>
      <c r="L121" s="5">
        <v>4.7</v>
      </c>
      <c r="M121" s="5">
        <v>735480.19</v>
      </c>
      <c r="N121" s="5">
        <v>88342.11</v>
      </c>
    </row>
    <row r="122" spans="1:14" x14ac:dyDescent="0.3">
      <c r="A122" s="5" t="s">
        <v>56</v>
      </c>
      <c r="B122" s="6">
        <v>45658</v>
      </c>
      <c r="C122" s="5" t="s">
        <v>24</v>
      </c>
      <c r="D122" s="5" t="s">
        <v>22</v>
      </c>
      <c r="E122" s="5">
        <v>43896.13</v>
      </c>
      <c r="F122" s="5">
        <v>3853</v>
      </c>
      <c r="G122" s="5">
        <v>8.7999999999999995E-2</v>
      </c>
      <c r="H122" s="5">
        <v>13</v>
      </c>
      <c r="I122" s="5">
        <v>83</v>
      </c>
      <c r="J122" s="5">
        <v>6.8</v>
      </c>
      <c r="K122" s="5">
        <v>0</v>
      </c>
      <c r="L122" s="5">
        <v>4.4000000000000004</v>
      </c>
      <c r="M122" s="5">
        <v>509484.81</v>
      </c>
      <c r="N122" s="5">
        <v>85742.36</v>
      </c>
    </row>
    <row r="123" spans="1:14" x14ac:dyDescent="0.3">
      <c r="A123" s="5" t="s">
        <v>56</v>
      </c>
      <c r="B123" s="6">
        <v>45689</v>
      </c>
      <c r="C123" s="5" t="s">
        <v>24</v>
      </c>
      <c r="D123" s="5" t="s">
        <v>22</v>
      </c>
      <c r="E123" s="5">
        <v>83044.17</v>
      </c>
      <c r="F123" s="5">
        <v>3694</v>
      </c>
      <c r="G123" s="5">
        <v>0</v>
      </c>
      <c r="H123" s="5">
        <v>14</v>
      </c>
      <c r="I123" s="5">
        <v>89.4</v>
      </c>
      <c r="J123" s="5">
        <v>2.2000000000000002</v>
      </c>
      <c r="K123" s="5">
        <v>0</v>
      </c>
      <c r="L123" s="5">
        <v>3.7</v>
      </c>
      <c r="M123" s="5">
        <v>654317.09</v>
      </c>
      <c r="N123" s="5">
        <v>121446.89</v>
      </c>
    </row>
    <row r="124" spans="1:14" x14ac:dyDescent="0.3">
      <c r="A124" s="5" t="s">
        <v>56</v>
      </c>
      <c r="B124" s="6">
        <v>45717</v>
      </c>
      <c r="C124" s="5" t="s">
        <v>24</v>
      </c>
      <c r="D124" s="5" t="s">
        <v>22</v>
      </c>
      <c r="E124" s="5">
        <v>48396.13</v>
      </c>
      <c r="F124" s="5">
        <v>4423</v>
      </c>
      <c r="G124" s="5">
        <v>6.9000000000000006E-2</v>
      </c>
      <c r="H124" s="5">
        <v>15</v>
      </c>
      <c r="I124" s="5">
        <v>85.7</v>
      </c>
      <c r="J124" s="5">
        <v>1.88</v>
      </c>
      <c r="K124" s="5">
        <v>0</v>
      </c>
      <c r="L124" s="5">
        <v>3.9</v>
      </c>
      <c r="M124" s="5">
        <v>557487.26</v>
      </c>
      <c r="N124" s="5">
        <v>76432.19</v>
      </c>
    </row>
    <row r="125" spans="1:14" x14ac:dyDescent="0.3">
      <c r="A125" s="5" t="s">
        <v>56</v>
      </c>
      <c r="B125" s="6">
        <v>45748</v>
      </c>
      <c r="C125" s="5" t="s">
        <v>24</v>
      </c>
      <c r="D125" s="5" t="s">
        <v>22</v>
      </c>
      <c r="E125" s="5">
        <v>19063.48</v>
      </c>
      <c r="F125" s="5">
        <v>1906</v>
      </c>
      <c r="G125" s="5">
        <v>0.216</v>
      </c>
      <c r="H125" s="5">
        <v>10</v>
      </c>
      <c r="I125" s="5">
        <v>97.8</v>
      </c>
      <c r="J125" s="5">
        <v>15.79</v>
      </c>
      <c r="K125" s="5">
        <v>0</v>
      </c>
      <c r="L125" s="5">
        <v>4.4000000000000004</v>
      </c>
      <c r="M125" s="5">
        <v>441275.42</v>
      </c>
      <c r="N125" s="5">
        <v>58234.87</v>
      </c>
    </row>
    <row r="126" spans="1:14" x14ac:dyDescent="0.3">
      <c r="A126" s="5" t="s">
        <v>57</v>
      </c>
      <c r="B126" s="6">
        <v>45658</v>
      </c>
      <c r="C126" s="5" t="s">
        <v>28</v>
      </c>
      <c r="D126" s="5" t="s">
        <v>22</v>
      </c>
      <c r="E126" s="5">
        <v>61541.21</v>
      </c>
      <c r="F126" s="5">
        <v>10396</v>
      </c>
      <c r="G126" s="5">
        <v>0.123</v>
      </c>
      <c r="H126" s="5">
        <v>25</v>
      </c>
      <c r="I126" s="5">
        <v>88.1</v>
      </c>
      <c r="J126" s="5">
        <v>2.34</v>
      </c>
      <c r="K126" s="5">
        <v>1</v>
      </c>
      <c r="L126" s="5">
        <v>4.8</v>
      </c>
      <c r="M126" s="5">
        <v>914544.17</v>
      </c>
      <c r="N126" s="5">
        <v>79831.73</v>
      </c>
    </row>
    <row r="127" spans="1:14" x14ac:dyDescent="0.3">
      <c r="A127" s="5" t="s">
        <v>57</v>
      </c>
      <c r="B127" s="6">
        <v>45689</v>
      </c>
      <c r="C127" s="5" t="s">
        <v>28</v>
      </c>
      <c r="D127" s="5" t="s">
        <v>22</v>
      </c>
      <c r="E127" s="5">
        <v>44747</v>
      </c>
      <c r="F127" s="5">
        <v>11076</v>
      </c>
      <c r="G127" s="5">
        <v>0.17599999999999999</v>
      </c>
      <c r="H127" s="5">
        <v>27</v>
      </c>
      <c r="I127" s="5">
        <v>98.3</v>
      </c>
      <c r="J127" s="5">
        <v>0.54</v>
      </c>
      <c r="K127" s="5">
        <v>0</v>
      </c>
      <c r="L127" s="5">
        <v>4.4000000000000004</v>
      </c>
      <c r="M127" s="5">
        <v>842439.67</v>
      </c>
      <c r="N127" s="5">
        <v>169983.63</v>
      </c>
    </row>
    <row r="128" spans="1:14" x14ac:dyDescent="0.3">
      <c r="A128" s="5" t="s">
        <v>57</v>
      </c>
      <c r="B128" s="6">
        <v>45717</v>
      </c>
      <c r="C128" s="5" t="s">
        <v>28</v>
      </c>
      <c r="D128" s="5" t="s">
        <v>22</v>
      </c>
      <c r="E128" s="5">
        <v>56517.9</v>
      </c>
      <c r="F128" s="5">
        <v>9574</v>
      </c>
      <c r="G128" s="5">
        <v>0.20399999999999999</v>
      </c>
      <c r="H128" s="5">
        <v>20</v>
      </c>
      <c r="I128" s="5">
        <v>88.2</v>
      </c>
      <c r="J128" s="5">
        <v>5.37</v>
      </c>
      <c r="K128" s="5">
        <v>1</v>
      </c>
      <c r="L128" s="5">
        <v>4.9000000000000004</v>
      </c>
      <c r="M128" s="5">
        <v>842157.92</v>
      </c>
      <c r="N128" s="5">
        <v>107348.22</v>
      </c>
    </row>
    <row r="129" spans="1:14" x14ac:dyDescent="0.3">
      <c r="A129" s="5" t="s">
        <v>57</v>
      </c>
      <c r="B129" s="6">
        <v>45748</v>
      </c>
      <c r="C129" s="5" t="s">
        <v>28</v>
      </c>
      <c r="D129" s="5" t="s">
        <v>22</v>
      </c>
      <c r="E129" s="5">
        <v>37828.5</v>
      </c>
      <c r="F129" s="5">
        <v>8221</v>
      </c>
      <c r="G129" s="5">
        <v>9.6000000000000002E-2</v>
      </c>
      <c r="H129" s="5">
        <v>19</v>
      </c>
      <c r="I129" s="5">
        <v>81.5</v>
      </c>
      <c r="J129" s="5">
        <v>3.19</v>
      </c>
      <c r="K129" s="5">
        <v>0</v>
      </c>
      <c r="L129" s="5">
        <v>4.8</v>
      </c>
      <c r="M129" s="5">
        <v>697155.3</v>
      </c>
      <c r="N129" s="5">
        <v>136408.54</v>
      </c>
    </row>
    <row r="130" spans="1:14" x14ac:dyDescent="0.3">
      <c r="A130" s="5" t="s">
        <v>58</v>
      </c>
      <c r="B130" s="6">
        <v>45658</v>
      </c>
      <c r="C130" s="5" t="s">
        <v>16</v>
      </c>
      <c r="D130" s="5" t="s">
        <v>22</v>
      </c>
      <c r="E130" s="5">
        <v>66250.53</v>
      </c>
      <c r="F130" s="5">
        <v>10618</v>
      </c>
      <c r="G130" s="5">
        <v>0.14199999999999999</v>
      </c>
      <c r="H130" s="5">
        <v>27</v>
      </c>
      <c r="I130" s="5">
        <v>88.3</v>
      </c>
      <c r="J130" s="5">
        <v>1.1000000000000001</v>
      </c>
      <c r="K130" s="5">
        <v>1</v>
      </c>
      <c r="L130" s="5">
        <v>4.4000000000000004</v>
      </c>
      <c r="M130" s="5">
        <v>849018.3</v>
      </c>
      <c r="N130" s="5">
        <v>149035.13</v>
      </c>
    </row>
    <row r="131" spans="1:14" x14ac:dyDescent="0.3">
      <c r="A131" s="5" t="s">
        <v>58</v>
      </c>
      <c r="B131" s="6">
        <v>45689</v>
      </c>
      <c r="C131" s="5" t="s">
        <v>16</v>
      </c>
      <c r="D131" s="5" t="s">
        <v>22</v>
      </c>
      <c r="E131" s="5">
        <v>68410.929999999993</v>
      </c>
      <c r="F131" s="5">
        <v>10596</v>
      </c>
      <c r="G131" s="5">
        <v>0.20699999999999999</v>
      </c>
      <c r="H131" s="5">
        <v>25</v>
      </c>
      <c r="I131" s="5">
        <v>81.2</v>
      </c>
      <c r="J131" s="5">
        <v>0.21</v>
      </c>
      <c r="K131" s="5">
        <v>0</v>
      </c>
      <c r="L131" s="5">
        <v>4</v>
      </c>
      <c r="M131" s="5">
        <v>801830.35</v>
      </c>
      <c r="N131" s="5">
        <v>114875.32</v>
      </c>
    </row>
    <row r="132" spans="1:14" x14ac:dyDescent="0.3">
      <c r="A132" s="5" t="s">
        <v>58</v>
      </c>
      <c r="B132" s="6">
        <v>45717</v>
      </c>
      <c r="C132" s="5" t="s">
        <v>16</v>
      </c>
      <c r="D132" s="5" t="s">
        <v>22</v>
      </c>
      <c r="E132" s="5">
        <v>50735.63</v>
      </c>
      <c r="F132" s="5">
        <v>9619</v>
      </c>
      <c r="G132" s="5">
        <v>0.14399999999999999</v>
      </c>
      <c r="H132" s="5">
        <v>19</v>
      </c>
      <c r="I132" s="5">
        <v>93.8</v>
      </c>
      <c r="J132" s="5">
        <v>5.12</v>
      </c>
      <c r="K132" s="5">
        <v>1</v>
      </c>
      <c r="L132" s="5">
        <v>4.5</v>
      </c>
      <c r="M132" s="5">
        <v>725235.28</v>
      </c>
      <c r="N132" s="5">
        <v>121632.24</v>
      </c>
    </row>
    <row r="133" spans="1:14" x14ac:dyDescent="0.3">
      <c r="A133" s="5" t="s">
        <v>58</v>
      </c>
      <c r="B133" s="6">
        <v>45748</v>
      </c>
      <c r="C133" s="5" t="s">
        <v>16</v>
      </c>
      <c r="D133" s="5" t="s">
        <v>22</v>
      </c>
      <c r="E133" s="5">
        <v>66455.8</v>
      </c>
      <c r="F133" s="5">
        <v>10836</v>
      </c>
      <c r="G133" s="5">
        <v>8.8999999999999996E-2</v>
      </c>
      <c r="H133" s="5">
        <v>25</v>
      </c>
      <c r="I133" s="5">
        <v>85</v>
      </c>
      <c r="J133" s="5">
        <v>9.77</v>
      </c>
      <c r="K133" s="5">
        <v>0</v>
      </c>
      <c r="L133" s="5">
        <v>4.5</v>
      </c>
      <c r="M133" s="5">
        <v>811452.72</v>
      </c>
      <c r="N133" s="5">
        <v>131325.67000000001</v>
      </c>
    </row>
    <row r="134" spans="1:14" x14ac:dyDescent="0.3">
      <c r="A134" s="5" t="s">
        <v>59</v>
      </c>
      <c r="B134" s="6">
        <v>45658</v>
      </c>
      <c r="C134" s="5" t="s">
        <v>24</v>
      </c>
      <c r="D134" s="5" t="s">
        <v>22</v>
      </c>
      <c r="E134" s="5">
        <v>70276.28</v>
      </c>
      <c r="F134" s="5">
        <v>3043</v>
      </c>
      <c r="G134" s="5">
        <v>7.9000000000000001E-2</v>
      </c>
      <c r="H134" s="5">
        <v>9</v>
      </c>
      <c r="I134" s="5">
        <v>87.9</v>
      </c>
      <c r="J134" s="5">
        <v>3.77</v>
      </c>
      <c r="K134" s="5">
        <v>0</v>
      </c>
      <c r="L134" s="5">
        <v>4.4000000000000004</v>
      </c>
      <c r="M134" s="5">
        <v>527300.13</v>
      </c>
      <c r="N134" s="5">
        <v>84197.87</v>
      </c>
    </row>
    <row r="135" spans="1:14" x14ac:dyDescent="0.3">
      <c r="A135" s="5" t="s">
        <v>59</v>
      </c>
      <c r="B135" s="6">
        <v>45689</v>
      </c>
      <c r="C135" s="5" t="s">
        <v>24</v>
      </c>
      <c r="D135" s="5" t="s">
        <v>22</v>
      </c>
      <c r="E135" s="5">
        <v>22071.64</v>
      </c>
      <c r="F135" s="5">
        <v>1814</v>
      </c>
      <c r="G135" s="5">
        <v>0.19600000000000001</v>
      </c>
      <c r="H135" s="5">
        <v>8</v>
      </c>
      <c r="I135" s="5">
        <v>81.099999999999994</v>
      </c>
      <c r="J135" s="5">
        <v>0.78</v>
      </c>
      <c r="K135" s="5">
        <v>0</v>
      </c>
      <c r="L135" s="5">
        <v>3.9246789999999998</v>
      </c>
      <c r="M135" s="5">
        <v>400831.65</v>
      </c>
      <c r="N135" s="5">
        <v>70979.31</v>
      </c>
    </row>
    <row r="136" spans="1:14" x14ac:dyDescent="0.3">
      <c r="A136" s="5" t="s">
        <v>59</v>
      </c>
      <c r="B136" s="6">
        <v>45717</v>
      </c>
      <c r="C136" s="5" t="s">
        <v>24</v>
      </c>
      <c r="D136" s="5" t="s">
        <v>22</v>
      </c>
      <c r="E136" s="5">
        <v>52285.45</v>
      </c>
      <c r="F136" s="5">
        <v>3618</v>
      </c>
      <c r="G136" s="5">
        <v>8.5999999999999993E-2</v>
      </c>
      <c r="H136" s="5">
        <v>11</v>
      </c>
      <c r="I136" s="5">
        <v>95.6</v>
      </c>
      <c r="J136" s="5">
        <v>5.17</v>
      </c>
      <c r="K136" s="5">
        <v>1</v>
      </c>
      <c r="L136" s="5">
        <v>4.4000000000000004</v>
      </c>
      <c r="M136" s="5">
        <v>593247.25</v>
      </c>
      <c r="N136" s="5">
        <v>81240.289999999994</v>
      </c>
    </row>
    <row r="137" spans="1:14" x14ac:dyDescent="0.3">
      <c r="A137" s="5" t="s">
        <v>59</v>
      </c>
      <c r="B137" s="6">
        <v>45748</v>
      </c>
      <c r="C137" s="5" t="s">
        <v>24</v>
      </c>
      <c r="D137" s="5" t="s">
        <v>22</v>
      </c>
      <c r="E137" s="5">
        <v>70366.759999999995</v>
      </c>
      <c r="F137" s="5">
        <v>1963</v>
      </c>
      <c r="G137" s="5">
        <v>0.182</v>
      </c>
      <c r="H137" s="5">
        <v>8</v>
      </c>
      <c r="I137" s="5">
        <v>89.8</v>
      </c>
      <c r="J137" s="5">
        <v>3.2</v>
      </c>
      <c r="K137" s="5">
        <v>0</v>
      </c>
      <c r="L137" s="5">
        <v>4.5999999999999996</v>
      </c>
      <c r="M137" s="5">
        <v>529075.94999999995</v>
      </c>
      <c r="N137" s="5">
        <v>95978.83</v>
      </c>
    </row>
    <row r="138" spans="1:14" x14ac:dyDescent="0.3">
      <c r="A138" s="5" t="s">
        <v>60</v>
      </c>
      <c r="B138" s="6">
        <v>45658</v>
      </c>
      <c r="C138" s="5" t="s">
        <v>28</v>
      </c>
      <c r="D138" s="5" t="s">
        <v>17</v>
      </c>
      <c r="E138" s="5">
        <v>71320.66</v>
      </c>
      <c r="F138" s="5">
        <v>7888</v>
      </c>
      <c r="G138" s="5">
        <v>4.8000000000000001E-2</v>
      </c>
      <c r="H138" s="5">
        <v>20</v>
      </c>
      <c r="I138" s="5">
        <v>78.099999999999994</v>
      </c>
      <c r="J138" s="5">
        <v>3.4</v>
      </c>
      <c r="K138" s="5">
        <v>0</v>
      </c>
      <c r="L138" s="5">
        <v>3.9246789999999998</v>
      </c>
      <c r="M138" s="5">
        <v>633638.03</v>
      </c>
      <c r="N138" s="5">
        <v>99402.01</v>
      </c>
    </row>
    <row r="139" spans="1:14" x14ac:dyDescent="0.3">
      <c r="A139" s="5" t="s">
        <v>60</v>
      </c>
      <c r="B139" s="6">
        <v>45689</v>
      </c>
      <c r="C139" s="5" t="s">
        <v>28</v>
      </c>
      <c r="D139" s="5" t="s">
        <v>17</v>
      </c>
      <c r="E139" s="5">
        <v>75109.67</v>
      </c>
      <c r="F139" s="5">
        <v>6244</v>
      </c>
      <c r="G139" s="5">
        <v>7.9000000000000001E-2</v>
      </c>
      <c r="H139" s="5">
        <v>15</v>
      </c>
      <c r="I139" s="5">
        <v>96.3</v>
      </c>
      <c r="J139" s="5">
        <v>7.38</v>
      </c>
      <c r="K139" s="5">
        <v>0</v>
      </c>
      <c r="L139" s="5">
        <v>3.7</v>
      </c>
      <c r="M139" s="5">
        <v>743348.84</v>
      </c>
      <c r="N139" s="5">
        <v>104186.09</v>
      </c>
    </row>
    <row r="140" spans="1:14" x14ac:dyDescent="0.3">
      <c r="A140" s="5" t="s">
        <v>60</v>
      </c>
      <c r="B140" s="6">
        <v>45717</v>
      </c>
      <c r="C140" s="5" t="s">
        <v>28</v>
      </c>
      <c r="D140" s="5" t="s">
        <v>17</v>
      </c>
      <c r="E140" s="5">
        <v>69779</v>
      </c>
      <c r="F140" s="5">
        <v>6544</v>
      </c>
      <c r="G140" s="5">
        <v>0.152</v>
      </c>
      <c r="H140" s="5">
        <v>18</v>
      </c>
      <c r="I140" s="5">
        <v>90.2</v>
      </c>
      <c r="J140" s="5">
        <v>0.85</v>
      </c>
      <c r="K140" s="5">
        <v>1</v>
      </c>
      <c r="L140" s="5">
        <v>3.3</v>
      </c>
      <c r="M140" s="5">
        <v>758827.64</v>
      </c>
      <c r="N140" s="5">
        <v>161439.48000000001</v>
      </c>
    </row>
    <row r="141" spans="1:14" x14ac:dyDescent="0.3">
      <c r="A141" s="5" t="s">
        <v>60</v>
      </c>
      <c r="B141" s="6">
        <v>45748</v>
      </c>
      <c r="C141" s="5" t="s">
        <v>28</v>
      </c>
      <c r="D141" s="5" t="s">
        <v>17</v>
      </c>
      <c r="E141" s="5">
        <v>44211.95</v>
      </c>
      <c r="F141" s="5">
        <v>5465</v>
      </c>
      <c r="G141" s="5">
        <v>0.187</v>
      </c>
      <c r="H141" s="5">
        <v>12</v>
      </c>
      <c r="I141" s="5">
        <v>90</v>
      </c>
      <c r="J141" s="5">
        <v>2.89</v>
      </c>
      <c r="K141" s="5">
        <v>0</v>
      </c>
      <c r="L141" s="5">
        <v>3.6</v>
      </c>
      <c r="M141" s="5">
        <v>646559.71</v>
      </c>
      <c r="N141" s="5">
        <v>97981.75</v>
      </c>
    </row>
    <row r="142" spans="1:14" x14ac:dyDescent="0.3">
      <c r="A142" s="5" t="s">
        <v>61</v>
      </c>
      <c r="B142" s="6">
        <v>45658</v>
      </c>
      <c r="C142" s="5" t="s">
        <v>31</v>
      </c>
      <c r="D142" s="5" t="s">
        <v>22</v>
      </c>
      <c r="E142" s="5">
        <v>51430.31</v>
      </c>
      <c r="F142" s="5">
        <v>6427</v>
      </c>
      <c r="G142" s="5">
        <v>0.23400000000000001</v>
      </c>
      <c r="H142" s="5">
        <v>14</v>
      </c>
      <c r="I142" s="5">
        <v>88.8</v>
      </c>
      <c r="J142" s="5">
        <v>0.77</v>
      </c>
      <c r="K142" s="5">
        <v>0</v>
      </c>
      <c r="L142" s="5">
        <v>4.0999999999999996</v>
      </c>
      <c r="M142" s="5">
        <v>715890.53</v>
      </c>
      <c r="N142" s="5">
        <v>109032.15</v>
      </c>
    </row>
    <row r="143" spans="1:14" x14ac:dyDescent="0.3">
      <c r="A143" s="5" t="s">
        <v>61</v>
      </c>
      <c r="B143" s="6">
        <v>45689</v>
      </c>
      <c r="C143" s="5" t="s">
        <v>31</v>
      </c>
      <c r="D143" s="5" t="s">
        <v>22</v>
      </c>
      <c r="E143" s="5">
        <v>45706.49</v>
      </c>
      <c r="F143" s="5">
        <v>6704</v>
      </c>
      <c r="G143" s="5">
        <v>3.7999999999999999E-2</v>
      </c>
      <c r="H143" s="5">
        <v>15</v>
      </c>
      <c r="I143" s="5">
        <v>94.2</v>
      </c>
      <c r="J143" s="5">
        <v>2.92</v>
      </c>
      <c r="K143" s="5">
        <v>0</v>
      </c>
      <c r="L143" s="5">
        <v>4.2</v>
      </c>
      <c r="M143" s="5">
        <v>715097.57</v>
      </c>
      <c r="N143" s="5">
        <v>151875.85999999999</v>
      </c>
    </row>
    <row r="144" spans="1:14" x14ac:dyDescent="0.3">
      <c r="A144" s="5" t="s">
        <v>61</v>
      </c>
      <c r="B144" s="6">
        <v>45717</v>
      </c>
      <c r="C144" s="5" t="s">
        <v>31</v>
      </c>
      <c r="D144" s="5" t="s">
        <v>22</v>
      </c>
      <c r="E144" s="5">
        <v>44034.6</v>
      </c>
      <c r="F144" s="5">
        <v>5645</v>
      </c>
      <c r="G144" s="5">
        <v>6.9000000000000006E-2</v>
      </c>
      <c r="H144" s="5">
        <v>18</v>
      </c>
      <c r="I144" s="5">
        <v>88.5</v>
      </c>
      <c r="J144" s="5">
        <v>3.07</v>
      </c>
      <c r="K144" s="5">
        <v>0</v>
      </c>
      <c r="L144" s="5">
        <v>3.8</v>
      </c>
      <c r="M144" s="5">
        <v>682639.28</v>
      </c>
      <c r="N144" s="5">
        <v>77557.53</v>
      </c>
    </row>
    <row r="145" spans="1:14" x14ac:dyDescent="0.3">
      <c r="A145" s="5" t="s">
        <v>61</v>
      </c>
      <c r="B145" s="6">
        <v>45748</v>
      </c>
      <c r="C145" s="5" t="s">
        <v>31</v>
      </c>
      <c r="D145" s="5" t="s">
        <v>22</v>
      </c>
      <c r="E145" s="5">
        <v>50198.12</v>
      </c>
      <c r="F145" s="5">
        <v>6089</v>
      </c>
      <c r="G145" s="5">
        <v>0.182</v>
      </c>
      <c r="H145" s="5">
        <v>19</v>
      </c>
      <c r="I145" s="5">
        <v>94</v>
      </c>
      <c r="J145" s="5">
        <v>9.6999999999999993</v>
      </c>
      <c r="K145" s="5">
        <v>0</v>
      </c>
      <c r="L145" s="5">
        <v>3.9</v>
      </c>
      <c r="M145" s="5">
        <v>695098.51</v>
      </c>
      <c r="N145" s="5">
        <v>108192.75</v>
      </c>
    </row>
    <row r="146" spans="1:14" x14ac:dyDescent="0.3">
      <c r="A146" s="5" t="s">
        <v>62</v>
      </c>
      <c r="B146" s="6">
        <v>45658</v>
      </c>
      <c r="C146" s="5" t="s">
        <v>24</v>
      </c>
      <c r="D146" s="5" t="s">
        <v>17</v>
      </c>
      <c r="E146" s="5">
        <v>70488.2</v>
      </c>
      <c r="F146" s="5">
        <v>4312</v>
      </c>
      <c r="G146" s="5">
        <v>0.16900000000000001</v>
      </c>
      <c r="H146" s="5">
        <v>12</v>
      </c>
      <c r="I146" s="5">
        <v>90.2</v>
      </c>
      <c r="J146" s="5">
        <v>3.71</v>
      </c>
      <c r="K146" s="5">
        <v>0</v>
      </c>
      <c r="L146" s="5">
        <v>3.2</v>
      </c>
      <c r="M146" s="5">
        <v>577732.56999999995</v>
      </c>
      <c r="N146" s="5">
        <v>93804.27</v>
      </c>
    </row>
    <row r="147" spans="1:14" x14ac:dyDescent="0.3">
      <c r="A147" s="5" t="s">
        <v>62</v>
      </c>
      <c r="B147" s="6">
        <v>45689</v>
      </c>
      <c r="C147" s="5" t="s">
        <v>24</v>
      </c>
      <c r="D147" s="5" t="s">
        <v>17</v>
      </c>
      <c r="E147" s="5">
        <v>50909.27</v>
      </c>
      <c r="F147" s="5">
        <v>3152</v>
      </c>
      <c r="G147" s="5">
        <v>0.06</v>
      </c>
      <c r="H147" s="5">
        <v>13</v>
      </c>
      <c r="I147" s="5">
        <v>93.7</v>
      </c>
      <c r="J147" s="5">
        <v>10.79</v>
      </c>
      <c r="K147" s="5">
        <v>0</v>
      </c>
      <c r="L147" s="5">
        <v>3.5</v>
      </c>
      <c r="M147" s="5">
        <v>537058.32999999996</v>
      </c>
      <c r="N147" s="5">
        <v>93555.71</v>
      </c>
    </row>
    <row r="148" spans="1:14" x14ac:dyDescent="0.3">
      <c r="A148" s="5" t="s">
        <v>62</v>
      </c>
      <c r="B148" s="6">
        <v>45717</v>
      </c>
      <c r="C148" s="5" t="s">
        <v>24</v>
      </c>
      <c r="D148" s="5" t="s">
        <v>17</v>
      </c>
      <c r="E148" s="5">
        <v>53351.7</v>
      </c>
      <c r="F148" s="5">
        <v>4259</v>
      </c>
      <c r="G148" s="5">
        <v>0.156</v>
      </c>
      <c r="H148" s="5">
        <v>15</v>
      </c>
      <c r="I148" s="5">
        <v>93.7</v>
      </c>
      <c r="J148" s="5">
        <v>6.03</v>
      </c>
      <c r="K148" s="5">
        <v>0</v>
      </c>
      <c r="L148" s="5">
        <v>3.4</v>
      </c>
      <c r="M148" s="5">
        <v>601568.87</v>
      </c>
      <c r="N148" s="5">
        <v>91634.82</v>
      </c>
    </row>
    <row r="149" spans="1:14" x14ac:dyDescent="0.3">
      <c r="A149" s="5" t="s">
        <v>62</v>
      </c>
      <c r="B149" s="6">
        <v>45748</v>
      </c>
      <c r="C149" s="5" t="s">
        <v>24</v>
      </c>
      <c r="D149" s="5" t="s">
        <v>17</v>
      </c>
      <c r="E149" s="5">
        <v>60322.400000000001</v>
      </c>
      <c r="F149" s="5">
        <v>3350</v>
      </c>
      <c r="G149" s="5">
        <v>0.108</v>
      </c>
      <c r="H149" s="5">
        <v>12</v>
      </c>
      <c r="I149" s="5">
        <v>89.4</v>
      </c>
      <c r="J149" s="5">
        <v>4.92</v>
      </c>
      <c r="K149" s="5">
        <v>0</v>
      </c>
      <c r="L149" s="5">
        <v>3.4</v>
      </c>
      <c r="M149" s="5">
        <v>570964.84</v>
      </c>
      <c r="N149" s="5">
        <v>81331.070000000007</v>
      </c>
    </row>
    <row r="150" spans="1:14" x14ac:dyDescent="0.3">
      <c r="A150" s="5" t="s">
        <v>63</v>
      </c>
      <c r="B150" s="6">
        <v>45658</v>
      </c>
      <c r="C150" s="5" t="s">
        <v>28</v>
      </c>
      <c r="D150" s="5" t="s">
        <v>32</v>
      </c>
      <c r="E150" s="5">
        <v>51575.68</v>
      </c>
      <c r="F150" s="5">
        <v>5329</v>
      </c>
      <c r="G150" s="5">
        <v>4.7E-2</v>
      </c>
      <c r="H150" s="5">
        <v>17</v>
      </c>
      <c r="I150" s="5">
        <v>88.1</v>
      </c>
      <c r="J150" s="5">
        <v>19.78</v>
      </c>
      <c r="K150" s="5">
        <v>0</v>
      </c>
      <c r="L150" s="5">
        <v>3.8</v>
      </c>
      <c r="M150" s="5">
        <v>614024.91</v>
      </c>
      <c r="N150" s="5">
        <v>84828.93</v>
      </c>
    </row>
    <row r="151" spans="1:14" x14ac:dyDescent="0.3">
      <c r="A151" s="5" t="s">
        <v>63</v>
      </c>
      <c r="B151" s="6">
        <v>45689</v>
      </c>
      <c r="C151" s="5" t="s">
        <v>28</v>
      </c>
      <c r="D151" s="5" t="s">
        <v>32</v>
      </c>
      <c r="E151" s="5">
        <v>43319.94</v>
      </c>
      <c r="F151" s="5">
        <v>6551</v>
      </c>
      <c r="G151" s="5">
        <v>4.3999999999999997E-2</v>
      </c>
      <c r="H151" s="5">
        <v>13</v>
      </c>
      <c r="I151" s="5">
        <v>99</v>
      </c>
      <c r="J151" s="5">
        <v>5.45</v>
      </c>
      <c r="K151" s="5">
        <v>0</v>
      </c>
      <c r="L151" s="5">
        <v>4.0999999999999996</v>
      </c>
      <c r="M151" s="5">
        <v>712868.35</v>
      </c>
      <c r="N151" s="5">
        <v>133650.51</v>
      </c>
    </row>
    <row r="152" spans="1:14" x14ac:dyDescent="0.3">
      <c r="A152" s="5" t="s">
        <v>63</v>
      </c>
      <c r="B152" s="6">
        <v>45717</v>
      </c>
      <c r="C152" s="5" t="s">
        <v>28</v>
      </c>
      <c r="D152" s="5" t="s">
        <v>32</v>
      </c>
      <c r="E152" s="5">
        <v>47093.55</v>
      </c>
      <c r="F152" s="5">
        <v>5550</v>
      </c>
      <c r="G152" s="5">
        <v>0.1</v>
      </c>
      <c r="H152" s="5">
        <v>12</v>
      </c>
      <c r="I152" s="5">
        <v>95</v>
      </c>
      <c r="J152" s="5">
        <v>2.33</v>
      </c>
      <c r="K152" s="5">
        <v>1</v>
      </c>
      <c r="L152" s="5">
        <v>3.7</v>
      </c>
      <c r="M152" s="5">
        <v>696744.15</v>
      </c>
      <c r="N152" s="5">
        <v>152230.09</v>
      </c>
    </row>
    <row r="153" spans="1:14" x14ac:dyDescent="0.3">
      <c r="A153" s="5" t="s">
        <v>63</v>
      </c>
      <c r="B153" s="6">
        <v>45748</v>
      </c>
      <c r="C153" s="5" t="s">
        <v>28</v>
      </c>
      <c r="D153" s="5" t="s">
        <v>32</v>
      </c>
      <c r="E153" s="5">
        <v>71855.09</v>
      </c>
      <c r="F153" s="5">
        <v>5911</v>
      </c>
      <c r="G153" s="5">
        <v>0.19700000000000001</v>
      </c>
      <c r="H153" s="5">
        <v>15</v>
      </c>
      <c r="I153" s="5">
        <v>94.3</v>
      </c>
      <c r="J153" s="5">
        <v>3.55</v>
      </c>
      <c r="K153" s="5">
        <v>0</v>
      </c>
      <c r="L153" s="5">
        <v>4.0999999999999996</v>
      </c>
      <c r="M153" s="5">
        <v>725847.99</v>
      </c>
      <c r="N153" s="5">
        <v>122698.73</v>
      </c>
    </row>
    <row r="154" spans="1:14" x14ac:dyDescent="0.3">
      <c r="A154" s="5" t="s">
        <v>64</v>
      </c>
      <c r="B154" s="6">
        <v>45658</v>
      </c>
      <c r="C154" s="5" t="s">
        <v>16</v>
      </c>
      <c r="D154" s="5" t="s">
        <v>22</v>
      </c>
      <c r="E154" s="5">
        <v>75645.23</v>
      </c>
      <c r="F154" s="5">
        <v>9674</v>
      </c>
      <c r="G154" s="5">
        <v>0.23400000000000001</v>
      </c>
      <c r="H154" s="5">
        <v>21</v>
      </c>
      <c r="I154" s="5">
        <v>87.4</v>
      </c>
      <c r="J154" s="5">
        <v>0.2</v>
      </c>
      <c r="K154" s="5">
        <v>0</v>
      </c>
      <c r="L154" s="5">
        <v>4.5</v>
      </c>
      <c r="M154" s="5">
        <v>785028.25</v>
      </c>
      <c r="N154" s="5">
        <v>110726.44</v>
      </c>
    </row>
    <row r="155" spans="1:14" x14ac:dyDescent="0.3">
      <c r="A155" s="5" t="s">
        <v>64</v>
      </c>
      <c r="B155" s="6">
        <v>45689</v>
      </c>
      <c r="C155" s="5" t="s">
        <v>16</v>
      </c>
      <c r="D155" s="5" t="s">
        <v>22</v>
      </c>
      <c r="E155" s="5">
        <v>64374.75</v>
      </c>
      <c r="F155" s="5">
        <v>6740</v>
      </c>
      <c r="G155" s="5">
        <v>0.16900000000000001</v>
      </c>
      <c r="H155" s="5">
        <v>18</v>
      </c>
      <c r="I155" s="5">
        <v>87</v>
      </c>
      <c r="J155" s="5">
        <v>2.09</v>
      </c>
      <c r="K155" s="5">
        <v>0</v>
      </c>
      <c r="L155" s="5">
        <v>4.2</v>
      </c>
      <c r="M155" s="5">
        <v>698492.67</v>
      </c>
      <c r="N155" s="5">
        <v>117319.32</v>
      </c>
    </row>
    <row r="156" spans="1:14" x14ac:dyDescent="0.3">
      <c r="A156" s="5" t="s">
        <v>64</v>
      </c>
      <c r="B156" s="6">
        <v>45717</v>
      </c>
      <c r="C156" s="5" t="s">
        <v>16</v>
      </c>
      <c r="D156" s="5" t="s">
        <v>22</v>
      </c>
      <c r="E156" s="5">
        <v>61433.84</v>
      </c>
      <c r="F156" s="5">
        <v>7745</v>
      </c>
      <c r="G156" s="5">
        <v>0.18</v>
      </c>
      <c r="H156" s="5">
        <v>16</v>
      </c>
      <c r="I156" s="5">
        <v>90.5</v>
      </c>
      <c r="J156" s="5">
        <v>2.2599999999999998</v>
      </c>
      <c r="K156" s="5">
        <v>0</v>
      </c>
      <c r="L156" s="5">
        <v>4.2</v>
      </c>
      <c r="M156" s="5">
        <v>685830.24</v>
      </c>
      <c r="N156" s="5">
        <v>128736.18</v>
      </c>
    </row>
    <row r="157" spans="1:14" x14ac:dyDescent="0.3">
      <c r="A157" s="5" t="s">
        <v>64</v>
      </c>
      <c r="B157" s="6">
        <v>45748</v>
      </c>
      <c r="C157" s="5" t="s">
        <v>16</v>
      </c>
      <c r="D157" s="5" t="s">
        <v>22</v>
      </c>
      <c r="E157" s="5">
        <v>42698.14</v>
      </c>
      <c r="F157" s="5">
        <v>7693</v>
      </c>
      <c r="G157" s="5">
        <v>0.187</v>
      </c>
      <c r="H157" s="5">
        <v>19</v>
      </c>
      <c r="I157" s="5">
        <v>90.1</v>
      </c>
      <c r="J157" s="5">
        <v>0.44</v>
      </c>
      <c r="K157" s="5">
        <v>0</v>
      </c>
      <c r="L157" s="5">
        <v>4.4000000000000004</v>
      </c>
      <c r="M157" s="5">
        <v>702318.94</v>
      </c>
      <c r="N157" s="5">
        <v>112829.29</v>
      </c>
    </row>
    <row r="158" spans="1:14" x14ac:dyDescent="0.3">
      <c r="A158" s="5" t="s">
        <v>65</v>
      </c>
      <c r="B158" s="6">
        <v>45658</v>
      </c>
      <c r="C158" s="5" t="s">
        <v>24</v>
      </c>
      <c r="D158" s="5" t="s">
        <v>32</v>
      </c>
      <c r="E158" s="5">
        <v>86883.31</v>
      </c>
      <c r="F158" s="5">
        <v>6424</v>
      </c>
      <c r="G158" s="5">
        <v>5.7000000000000002E-2</v>
      </c>
      <c r="H158" s="5">
        <v>19</v>
      </c>
      <c r="I158" s="5">
        <v>85.2</v>
      </c>
      <c r="J158" s="5">
        <v>3.08</v>
      </c>
      <c r="K158" s="5">
        <v>0</v>
      </c>
      <c r="L158" s="5">
        <v>3.9</v>
      </c>
      <c r="M158" s="5">
        <v>700078.32</v>
      </c>
      <c r="N158" s="5">
        <v>123707.58</v>
      </c>
    </row>
    <row r="159" spans="1:14" x14ac:dyDescent="0.3">
      <c r="A159" s="5" t="s">
        <v>65</v>
      </c>
      <c r="B159" s="6">
        <v>45689</v>
      </c>
      <c r="C159" s="5" t="s">
        <v>24</v>
      </c>
      <c r="D159" s="5" t="s">
        <v>32</v>
      </c>
      <c r="E159" s="5">
        <v>41863.08</v>
      </c>
      <c r="F159" s="5">
        <v>5400</v>
      </c>
      <c r="G159" s="5">
        <v>0.114</v>
      </c>
      <c r="H159" s="5">
        <v>11</v>
      </c>
      <c r="I159" s="5">
        <v>91.6</v>
      </c>
      <c r="J159" s="5">
        <v>7.99</v>
      </c>
      <c r="K159" s="5">
        <v>0</v>
      </c>
      <c r="L159" s="5">
        <v>3</v>
      </c>
      <c r="M159" s="5">
        <v>602002.31999999995</v>
      </c>
      <c r="N159" s="5">
        <v>110453.28</v>
      </c>
    </row>
    <row r="160" spans="1:14" x14ac:dyDescent="0.3">
      <c r="A160" s="5" t="s">
        <v>65</v>
      </c>
      <c r="B160" s="6">
        <v>45717</v>
      </c>
      <c r="C160" s="5" t="s">
        <v>24</v>
      </c>
      <c r="D160" s="5" t="s">
        <v>32</v>
      </c>
      <c r="E160" s="5">
        <v>56918.16</v>
      </c>
      <c r="F160" s="5">
        <v>7015</v>
      </c>
      <c r="G160" s="5">
        <v>0.158</v>
      </c>
      <c r="H160" s="5">
        <v>18</v>
      </c>
      <c r="I160" s="5">
        <v>74.2</v>
      </c>
      <c r="J160" s="5">
        <v>0.2</v>
      </c>
      <c r="K160" s="5">
        <v>0</v>
      </c>
      <c r="L160" s="5">
        <v>3.4</v>
      </c>
      <c r="M160" s="5">
        <v>724216.07</v>
      </c>
      <c r="N160" s="5">
        <v>100627.56</v>
      </c>
    </row>
    <row r="161" spans="1:14" x14ac:dyDescent="0.3">
      <c r="A161" s="5" t="s">
        <v>65</v>
      </c>
      <c r="B161" s="6">
        <v>45748</v>
      </c>
      <c r="C161" s="5" t="s">
        <v>24</v>
      </c>
      <c r="D161" s="5" t="s">
        <v>32</v>
      </c>
      <c r="E161" s="5">
        <v>23254.57</v>
      </c>
      <c r="F161" s="5">
        <v>3847</v>
      </c>
      <c r="G161" s="5">
        <v>0.159</v>
      </c>
      <c r="H161" s="5">
        <v>12</v>
      </c>
      <c r="I161" s="5">
        <v>93</v>
      </c>
      <c r="J161" s="5">
        <v>5.46</v>
      </c>
      <c r="K161" s="5">
        <v>0</v>
      </c>
      <c r="L161" s="5">
        <v>3.3</v>
      </c>
      <c r="M161" s="5">
        <v>620973.03</v>
      </c>
      <c r="N161" s="5">
        <v>72303.850000000006</v>
      </c>
    </row>
    <row r="162" spans="1:14" x14ac:dyDescent="0.3">
      <c r="A162" s="5" t="s">
        <v>66</v>
      </c>
      <c r="B162" s="6">
        <v>45658</v>
      </c>
      <c r="C162" s="5" t="s">
        <v>28</v>
      </c>
      <c r="D162" s="5" t="s">
        <v>22</v>
      </c>
      <c r="E162" s="5">
        <v>41443.410000000003</v>
      </c>
      <c r="F162" s="5">
        <v>7455</v>
      </c>
      <c r="G162" s="5">
        <v>0.17499999999999999</v>
      </c>
      <c r="H162" s="5">
        <v>16</v>
      </c>
      <c r="I162" s="5">
        <v>90.1</v>
      </c>
      <c r="J162" s="5">
        <v>4.05</v>
      </c>
      <c r="K162" s="5">
        <v>0</v>
      </c>
      <c r="L162" s="5">
        <v>4</v>
      </c>
      <c r="M162" s="5">
        <v>650480.06000000006</v>
      </c>
      <c r="N162" s="5">
        <v>109012.07</v>
      </c>
    </row>
    <row r="163" spans="1:14" x14ac:dyDescent="0.3">
      <c r="A163" s="5" t="s">
        <v>66</v>
      </c>
      <c r="B163" s="6">
        <v>45689</v>
      </c>
      <c r="C163" s="5" t="s">
        <v>28</v>
      </c>
      <c r="D163" s="5" t="s">
        <v>22</v>
      </c>
      <c r="E163" s="5">
        <v>48438.85</v>
      </c>
      <c r="F163" s="5">
        <v>6992</v>
      </c>
      <c r="G163" s="5">
        <v>3.4000000000000002E-2</v>
      </c>
      <c r="H163" s="5">
        <v>20</v>
      </c>
      <c r="I163" s="5">
        <v>91</v>
      </c>
      <c r="J163" s="5">
        <v>4.3600000000000003</v>
      </c>
      <c r="K163" s="5">
        <v>0</v>
      </c>
      <c r="L163" s="5">
        <v>4.2</v>
      </c>
      <c r="M163" s="5">
        <v>778298.88</v>
      </c>
      <c r="N163" s="5">
        <v>130076.72</v>
      </c>
    </row>
    <row r="164" spans="1:14" x14ac:dyDescent="0.3">
      <c r="A164" s="5" t="s">
        <v>66</v>
      </c>
      <c r="B164" s="6">
        <v>45717</v>
      </c>
      <c r="C164" s="5" t="s">
        <v>28</v>
      </c>
      <c r="D164" s="5" t="s">
        <v>22</v>
      </c>
      <c r="E164" s="5">
        <v>57143.3</v>
      </c>
      <c r="F164" s="5">
        <v>8038</v>
      </c>
      <c r="G164" s="5">
        <v>0.193</v>
      </c>
      <c r="H164" s="5">
        <v>17</v>
      </c>
      <c r="I164" s="5">
        <v>72.599999999999994</v>
      </c>
      <c r="J164" s="5">
        <v>4.5590450000000002</v>
      </c>
      <c r="K164" s="5">
        <v>0</v>
      </c>
      <c r="L164" s="5">
        <v>4.2</v>
      </c>
      <c r="M164" s="5">
        <v>677096.71</v>
      </c>
      <c r="N164" s="5">
        <v>97174.11</v>
      </c>
    </row>
    <row r="165" spans="1:14" x14ac:dyDescent="0.3">
      <c r="A165" s="5" t="s">
        <v>66</v>
      </c>
      <c r="B165" s="6">
        <v>45748</v>
      </c>
      <c r="C165" s="5" t="s">
        <v>28</v>
      </c>
      <c r="D165" s="5" t="s">
        <v>22</v>
      </c>
      <c r="E165" s="5">
        <v>66870.62</v>
      </c>
      <c r="F165" s="5">
        <v>6055</v>
      </c>
      <c r="G165" s="5">
        <v>7.4999999999999997E-2</v>
      </c>
      <c r="H165" s="5">
        <v>19</v>
      </c>
      <c r="I165" s="5">
        <v>93.8</v>
      </c>
      <c r="J165" s="5">
        <v>0.54</v>
      </c>
      <c r="K165" s="5">
        <v>0</v>
      </c>
      <c r="L165" s="5">
        <v>4.3</v>
      </c>
      <c r="M165" s="5">
        <v>692008.64</v>
      </c>
      <c r="N165" s="5">
        <v>116337.87</v>
      </c>
    </row>
    <row r="166" spans="1:14" x14ac:dyDescent="0.3">
      <c r="A166" s="5" t="s">
        <v>67</v>
      </c>
      <c r="B166" s="6">
        <v>45658</v>
      </c>
      <c r="C166" s="5" t="s">
        <v>24</v>
      </c>
      <c r="D166" s="5" t="s">
        <v>32</v>
      </c>
      <c r="E166" s="5">
        <v>72150.53</v>
      </c>
      <c r="F166" s="5">
        <v>9323</v>
      </c>
      <c r="G166" s="5">
        <v>0.157</v>
      </c>
      <c r="H166" s="5">
        <v>22</v>
      </c>
      <c r="I166" s="5">
        <v>82.9</v>
      </c>
      <c r="J166" s="5">
        <v>11.37</v>
      </c>
      <c r="K166" s="5">
        <v>1</v>
      </c>
      <c r="L166" s="5">
        <v>4.3</v>
      </c>
      <c r="M166" s="5">
        <v>825797.91</v>
      </c>
      <c r="N166" s="5">
        <v>130945.24</v>
      </c>
    </row>
    <row r="167" spans="1:14" x14ac:dyDescent="0.3">
      <c r="A167" s="5" t="s">
        <v>67</v>
      </c>
      <c r="B167" s="6">
        <v>45689</v>
      </c>
      <c r="C167" s="5" t="s">
        <v>24</v>
      </c>
      <c r="D167" s="5" t="s">
        <v>32</v>
      </c>
      <c r="E167" s="5">
        <v>35303.300000000003</v>
      </c>
      <c r="F167" s="5">
        <v>8789</v>
      </c>
      <c r="G167" s="5">
        <v>0.123</v>
      </c>
      <c r="H167" s="5">
        <v>22</v>
      </c>
      <c r="I167" s="5">
        <v>86.1</v>
      </c>
      <c r="J167" s="5">
        <v>9.43</v>
      </c>
      <c r="K167" s="5">
        <v>0</v>
      </c>
      <c r="L167" s="5">
        <v>4.2</v>
      </c>
      <c r="M167" s="5">
        <v>706285.52</v>
      </c>
      <c r="N167" s="5">
        <v>138014.72</v>
      </c>
    </row>
    <row r="168" spans="1:14" x14ac:dyDescent="0.3">
      <c r="A168" s="5" t="s">
        <v>67</v>
      </c>
      <c r="B168" s="6">
        <v>45717</v>
      </c>
      <c r="C168" s="5" t="s">
        <v>24</v>
      </c>
      <c r="D168" s="5" t="s">
        <v>32</v>
      </c>
      <c r="E168" s="5">
        <v>30301.86</v>
      </c>
      <c r="F168" s="5">
        <v>6939</v>
      </c>
      <c r="G168" s="5">
        <v>0.09</v>
      </c>
      <c r="H168" s="5">
        <v>16</v>
      </c>
      <c r="I168" s="5">
        <v>90.3</v>
      </c>
      <c r="J168" s="5">
        <v>3.49</v>
      </c>
      <c r="K168" s="5">
        <v>0</v>
      </c>
      <c r="L168" s="5">
        <v>4</v>
      </c>
      <c r="M168" s="5">
        <v>665534.69999999995</v>
      </c>
      <c r="N168" s="5">
        <v>113167.73</v>
      </c>
    </row>
    <row r="169" spans="1:14" x14ac:dyDescent="0.3">
      <c r="A169" s="5" t="s">
        <v>67</v>
      </c>
      <c r="B169" s="6">
        <v>45748</v>
      </c>
      <c r="C169" s="5" t="s">
        <v>24</v>
      </c>
      <c r="D169" s="5" t="s">
        <v>32</v>
      </c>
      <c r="E169" s="5">
        <v>78432.14</v>
      </c>
      <c r="F169" s="5">
        <v>9440</v>
      </c>
      <c r="G169" s="5">
        <v>0.126</v>
      </c>
      <c r="H169" s="5">
        <v>23</v>
      </c>
      <c r="I169" s="5">
        <v>89.2</v>
      </c>
      <c r="J169" s="5">
        <v>7.86</v>
      </c>
      <c r="K169" s="5">
        <v>0</v>
      </c>
      <c r="L169" s="5">
        <v>4.0999999999999996</v>
      </c>
      <c r="M169" s="5">
        <v>820729.29</v>
      </c>
      <c r="N169" s="5">
        <v>159325.47</v>
      </c>
    </row>
    <row r="170" spans="1:14" x14ac:dyDescent="0.3">
      <c r="A170" s="5" t="s">
        <v>68</v>
      </c>
      <c r="B170" s="6">
        <v>45658</v>
      </c>
      <c r="C170" s="5" t="s">
        <v>16</v>
      </c>
      <c r="D170" s="5" t="s">
        <v>17</v>
      </c>
      <c r="E170" s="5">
        <v>62059.18</v>
      </c>
      <c r="F170" s="5">
        <v>9374</v>
      </c>
      <c r="G170" s="5">
        <v>0.13600000000000001</v>
      </c>
      <c r="H170" s="5">
        <v>25</v>
      </c>
      <c r="I170" s="5">
        <v>87.1</v>
      </c>
      <c r="J170" s="5">
        <v>12.55</v>
      </c>
      <c r="K170" s="5">
        <v>0</v>
      </c>
      <c r="L170" s="5">
        <v>4.9000000000000004</v>
      </c>
      <c r="M170" s="5">
        <v>739831.73</v>
      </c>
      <c r="N170" s="5">
        <v>119490.21</v>
      </c>
    </row>
    <row r="171" spans="1:14" x14ac:dyDescent="0.3">
      <c r="A171" s="5" t="s">
        <v>68</v>
      </c>
      <c r="B171" s="6">
        <v>45689</v>
      </c>
      <c r="C171" s="5" t="s">
        <v>16</v>
      </c>
      <c r="D171" s="5" t="s">
        <v>17</v>
      </c>
      <c r="E171" s="5">
        <v>32834.480000000003</v>
      </c>
      <c r="F171" s="5">
        <v>7576</v>
      </c>
      <c r="G171" s="5">
        <v>9.9000000000000005E-2</v>
      </c>
      <c r="H171" s="5">
        <v>15</v>
      </c>
      <c r="I171" s="5">
        <v>84.1</v>
      </c>
      <c r="J171" s="5">
        <v>3.48</v>
      </c>
      <c r="K171" s="5">
        <v>0</v>
      </c>
      <c r="L171" s="5">
        <v>5</v>
      </c>
      <c r="M171" s="5">
        <v>593637.14</v>
      </c>
      <c r="N171" s="5">
        <v>106648.14</v>
      </c>
    </row>
    <row r="172" spans="1:14" x14ac:dyDescent="0.3">
      <c r="A172" s="5" t="s">
        <v>68</v>
      </c>
      <c r="B172" s="6">
        <v>45717</v>
      </c>
      <c r="C172" s="5" t="s">
        <v>16</v>
      </c>
      <c r="D172" s="5" t="s">
        <v>17</v>
      </c>
      <c r="E172" s="5">
        <v>50825.08</v>
      </c>
      <c r="F172" s="5">
        <v>8949</v>
      </c>
      <c r="G172" s="5">
        <v>0.157</v>
      </c>
      <c r="H172" s="5">
        <v>21</v>
      </c>
      <c r="I172" s="5">
        <v>84.7</v>
      </c>
      <c r="J172" s="5">
        <v>7.73</v>
      </c>
      <c r="K172" s="5">
        <v>0</v>
      </c>
      <c r="L172" s="5">
        <v>4.9000000000000004</v>
      </c>
      <c r="M172" s="5">
        <v>769702.76</v>
      </c>
      <c r="N172" s="5">
        <v>158697</v>
      </c>
    </row>
    <row r="173" spans="1:14" x14ac:dyDescent="0.3">
      <c r="A173" s="5" t="s">
        <v>68</v>
      </c>
      <c r="B173" s="6">
        <v>45748</v>
      </c>
      <c r="C173" s="5" t="s">
        <v>16</v>
      </c>
      <c r="D173" s="5" t="s">
        <v>17</v>
      </c>
      <c r="E173" s="5">
        <v>36606.51</v>
      </c>
      <c r="F173" s="5">
        <v>7671</v>
      </c>
      <c r="G173" s="5">
        <v>0.11799999999999999</v>
      </c>
      <c r="H173" s="5">
        <v>18</v>
      </c>
      <c r="I173" s="5">
        <v>89.8</v>
      </c>
      <c r="J173" s="5">
        <v>0.25</v>
      </c>
      <c r="K173" s="5">
        <v>0</v>
      </c>
      <c r="L173" s="5">
        <v>4.4000000000000004</v>
      </c>
      <c r="M173" s="5">
        <v>679731.57</v>
      </c>
      <c r="N173" s="5">
        <v>121546.42</v>
      </c>
    </row>
    <row r="174" spans="1:14" x14ac:dyDescent="0.3">
      <c r="A174" s="5" t="s">
        <v>69</v>
      </c>
      <c r="B174" s="6">
        <v>45658</v>
      </c>
      <c r="C174" s="5" t="s">
        <v>16</v>
      </c>
      <c r="D174" s="5" t="s">
        <v>17</v>
      </c>
      <c r="E174" s="5">
        <v>65237.79</v>
      </c>
      <c r="F174" s="5">
        <v>8741</v>
      </c>
      <c r="G174" s="5">
        <v>0.157</v>
      </c>
      <c r="H174" s="5">
        <v>20</v>
      </c>
      <c r="I174" s="5">
        <v>94.4</v>
      </c>
      <c r="J174" s="5">
        <v>6.43</v>
      </c>
      <c r="K174" s="5">
        <v>0</v>
      </c>
      <c r="L174" s="5">
        <v>3.3</v>
      </c>
      <c r="M174" s="5">
        <v>780344.18</v>
      </c>
      <c r="N174" s="5">
        <v>118239.09</v>
      </c>
    </row>
    <row r="175" spans="1:14" x14ac:dyDescent="0.3">
      <c r="A175" s="5" t="s">
        <v>69</v>
      </c>
      <c r="B175" s="6">
        <v>45689</v>
      </c>
      <c r="C175" s="5" t="s">
        <v>16</v>
      </c>
      <c r="D175" s="5" t="s">
        <v>17</v>
      </c>
      <c r="E175" s="5">
        <v>43645.98</v>
      </c>
      <c r="F175" s="5">
        <v>9480</v>
      </c>
      <c r="G175" s="5">
        <v>0.109</v>
      </c>
      <c r="H175" s="5">
        <v>22</v>
      </c>
      <c r="I175" s="5">
        <v>89</v>
      </c>
      <c r="J175" s="5">
        <v>2.11</v>
      </c>
      <c r="K175" s="5">
        <v>0</v>
      </c>
      <c r="L175" s="5">
        <v>3.1</v>
      </c>
      <c r="M175" s="5">
        <v>721364.11</v>
      </c>
      <c r="N175" s="5">
        <v>147272.81</v>
      </c>
    </row>
    <row r="176" spans="1:14" x14ac:dyDescent="0.3">
      <c r="A176" s="5" t="s">
        <v>69</v>
      </c>
      <c r="B176" s="6">
        <v>45717</v>
      </c>
      <c r="C176" s="5" t="s">
        <v>16</v>
      </c>
      <c r="D176" s="5" t="s">
        <v>17</v>
      </c>
      <c r="E176" s="5">
        <v>68040.149999999994</v>
      </c>
      <c r="F176" s="5">
        <v>9826</v>
      </c>
      <c r="G176" s="5">
        <v>0.125</v>
      </c>
      <c r="H176" s="5">
        <v>20</v>
      </c>
      <c r="I176" s="5">
        <v>83.9</v>
      </c>
      <c r="J176" s="5">
        <v>9.1199999999999992</v>
      </c>
      <c r="K176" s="5">
        <v>0</v>
      </c>
      <c r="L176" s="5">
        <v>3.6</v>
      </c>
      <c r="M176" s="5">
        <v>758138.29</v>
      </c>
      <c r="N176" s="5">
        <v>132975.26</v>
      </c>
    </row>
    <row r="177" spans="1:14" x14ac:dyDescent="0.3">
      <c r="A177" s="5" t="s">
        <v>69</v>
      </c>
      <c r="B177" s="6">
        <v>45748</v>
      </c>
      <c r="C177" s="5" t="s">
        <v>16</v>
      </c>
      <c r="D177" s="5" t="s">
        <v>17</v>
      </c>
      <c r="E177" s="5">
        <v>63043.94</v>
      </c>
      <c r="F177" s="5">
        <v>10402</v>
      </c>
      <c r="G177" s="5">
        <v>0.159</v>
      </c>
      <c r="H177" s="5">
        <v>23</v>
      </c>
      <c r="I177" s="5">
        <v>93.9</v>
      </c>
      <c r="J177" s="5">
        <v>2.71</v>
      </c>
      <c r="K177" s="5">
        <v>0</v>
      </c>
      <c r="L177" s="5">
        <v>3.1</v>
      </c>
      <c r="M177" s="5">
        <v>804264</v>
      </c>
      <c r="N177" s="5">
        <v>167117.91</v>
      </c>
    </row>
    <row r="178" spans="1:14" x14ac:dyDescent="0.3">
      <c r="A178" s="5" t="s">
        <v>70</v>
      </c>
      <c r="B178" s="6">
        <v>45658</v>
      </c>
      <c r="C178" s="5" t="s">
        <v>31</v>
      </c>
      <c r="D178" s="5" t="s">
        <v>25</v>
      </c>
      <c r="E178" s="5">
        <v>67494.09</v>
      </c>
      <c r="F178" s="5">
        <v>12361</v>
      </c>
      <c r="G178" s="5">
        <v>4.5999999999999999E-2</v>
      </c>
      <c r="H178" s="5">
        <v>24</v>
      </c>
      <c r="I178" s="5">
        <v>76.599999999999994</v>
      </c>
      <c r="J178" s="5">
        <v>3.65</v>
      </c>
      <c r="K178" s="5">
        <v>1</v>
      </c>
      <c r="L178" s="5">
        <v>3.7</v>
      </c>
      <c r="M178" s="5">
        <v>887537.75</v>
      </c>
      <c r="N178" s="5">
        <v>160362.92000000001</v>
      </c>
    </row>
    <row r="179" spans="1:14" x14ac:dyDescent="0.3">
      <c r="A179" s="5" t="s">
        <v>70</v>
      </c>
      <c r="B179" s="6">
        <v>45689</v>
      </c>
      <c r="C179" s="5" t="s">
        <v>31</v>
      </c>
      <c r="D179" s="5" t="s">
        <v>25</v>
      </c>
      <c r="E179" s="5">
        <v>29389.32</v>
      </c>
      <c r="F179" s="5">
        <v>7925</v>
      </c>
      <c r="G179" s="5">
        <v>0.17699999999999999</v>
      </c>
      <c r="H179" s="5">
        <v>21</v>
      </c>
      <c r="I179" s="5">
        <v>90.9</v>
      </c>
      <c r="J179" s="5">
        <v>7.86</v>
      </c>
      <c r="K179" s="5">
        <v>0</v>
      </c>
      <c r="L179" s="5">
        <v>4</v>
      </c>
      <c r="M179" s="5">
        <v>783582</v>
      </c>
      <c r="N179" s="5">
        <v>130670.93</v>
      </c>
    </row>
    <row r="180" spans="1:14" x14ac:dyDescent="0.3">
      <c r="A180" s="5" t="s">
        <v>70</v>
      </c>
      <c r="B180" s="6">
        <v>45717</v>
      </c>
      <c r="C180" s="5" t="s">
        <v>31</v>
      </c>
      <c r="D180" s="5" t="s">
        <v>25</v>
      </c>
      <c r="E180" s="5">
        <v>40535.089999999997</v>
      </c>
      <c r="F180" s="5">
        <v>8870</v>
      </c>
      <c r="G180" s="5">
        <v>4.1000000000000002E-2</v>
      </c>
      <c r="H180" s="5">
        <v>21</v>
      </c>
      <c r="I180" s="5">
        <v>86.6</v>
      </c>
      <c r="J180" s="5">
        <v>0.3</v>
      </c>
      <c r="K180" s="5">
        <v>0</v>
      </c>
      <c r="L180" s="5">
        <v>4.0999999999999996</v>
      </c>
      <c r="M180" s="5">
        <v>781955.52</v>
      </c>
      <c r="N180" s="5">
        <v>152578.71</v>
      </c>
    </row>
    <row r="181" spans="1:14" x14ac:dyDescent="0.3">
      <c r="A181" s="5" t="s">
        <v>70</v>
      </c>
      <c r="B181" s="6">
        <v>45748</v>
      </c>
      <c r="C181" s="5" t="s">
        <v>31</v>
      </c>
      <c r="D181" s="5" t="s">
        <v>25</v>
      </c>
      <c r="E181" s="5">
        <v>74881.56</v>
      </c>
      <c r="F181" s="5">
        <v>9999</v>
      </c>
      <c r="G181" s="5">
        <v>1.2999999999999999E-2</v>
      </c>
      <c r="H181" s="5">
        <v>20</v>
      </c>
      <c r="I181" s="5">
        <v>89.6</v>
      </c>
      <c r="J181" s="5">
        <v>8.44</v>
      </c>
      <c r="K181" s="5">
        <v>0</v>
      </c>
      <c r="L181" s="5">
        <v>4.0999999999999996</v>
      </c>
      <c r="M181" s="5">
        <v>898031.04</v>
      </c>
      <c r="N181" s="5">
        <v>138666.5</v>
      </c>
    </row>
    <row r="182" spans="1:14" x14ac:dyDescent="0.3">
      <c r="A182" s="5" t="s">
        <v>71</v>
      </c>
      <c r="B182" s="6">
        <v>45658</v>
      </c>
      <c r="C182" s="5" t="s">
        <v>31</v>
      </c>
      <c r="D182" s="5" t="s">
        <v>17</v>
      </c>
      <c r="E182" s="5">
        <v>68491.11</v>
      </c>
      <c r="F182" s="5">
        <v>11154</v>
      </c>
      <c r="G182" s="5">
        <v>1E-3</v>
      </c>
      <c r="H182" s="5">
        <v>24</v>
      </c>
      <c r="I182" s="5">
        <v>89.4</v>
      </c>
      <c r="J182" s="5">
        <v>5.27</v>
      </c>
      <c r="K182" s="5">
        <v>1</v>
      </c>
      <c r="L182" s="5">
        <v>3.9</v>
      </c>
      <c r="M182" s="5">
        <v>855341.28</v>
      </c>
      <c r="N182" s="5">
        <v>175823.8</v>
      </c>
    </row>
    <row r="183" spans="1:14" x14ac:dyDescent="0.3">
      <c r="A183" s="5" t="s">
        <v>71</v>
      </c>
      <c r="B183" s="6">
        <v>45689</v>
      </c>
      <c r="C183" s="5" t="s">
        <v>31</v>
      </c>
      <c r="D183" s="5" t="s">
        <v>17</v>
      </c>
      <c r="E183" s="5">
        <v>45209.25</v>
      </c>
      <c r="F183" s="5">
        <v>9287</v>
      </c>
      <c r="G183" s="5">
        <v>0.14099999999999999</v>
      </c>
      <c r="H183" s="5">
        <v>22</v>
      </c>
      <c r="I183" s="5">
        <v>86.4</v>
      </c>
      <c r="J183" s="5">
        <v>13.22</v>
      </c>
      <c r="K183" s="5">
        <v>0</v>
      </c>
      <c r="L183" s="5">
        <v>3.6</v>
      </c>
      <c r="M183" s="5">
        <v>751393.88</v>
      </c>
      <c r="N183" s="5">
        <v>91480.320000000007</v>
      </c>
    </row>
    <row r="184" spans="1:14" x14ac:dyDescent="0.3">
      <c r="A184" s="5" t="s">
        <v>71</v>
      </c>
      <c r="B184" s="6">
        <v>45717</v>
      </c>
      <c r="C184" s="5" t="s">
        <v>31</v>
      </c>
      <c r="D184" s="5" t="s">
        <v>17</v>
      </c>
      <c r="E184" s="5">
        <v>63010.23</v>
      </c>
      <c r="F184" s="5">
        <v>9812</v>
      </c>
      <c r="G184" s="5">
        <v>0.113</v>
      </c>
      <c r="H184" s="5">
        <v>24</v>
      </c>
      <c r="I184" s="5">
        <v>76.8</v>
      </c>
      <c r="J184" s="5">
        <v>1.02</v>
      </c>
      <c r="K184" s="5">
        <v>1</v>
      </c>
      <c r="L184" s="5">
        <v>3.8</v>
      </c>
      <c r="M184" s="5">
        <v>761077.08</v>
      </c>
      <c r="N184" s="5">
        <v>113605.93</v>
      </c>
    </row>
    <row r="185" spans="1:14" x14ac:dyDescent="0.3">
      <c r="A185" s="5" t="s">
        <v>71</v>
      </c>
      <c r="B185" s="6">
        <v>45748</v>
      </c>
      <c r="C185" s="5" t="s">
        <v>31</v>
      </c>
      <c r="D185" s="5" t="s">
        <v>17</v>
      </c>
      <c r="E185" s="5">
        <v>57948.88</v>
      </c>
      <c r="F185" s="5">
        <v>10741</v>
      </c>
      <c r="G185" s="5">
        <v>7.0000000000000007E-2</v>
      </c>
      <c r="H185" s="5">
        <v>25</v>
      </c>
      <c r="I185" s="5">
        <v>90.1</v>
      </c>
      <c r="J185" s="5">
        <v>4.03</v>
      </c>
      <c r="K185" s="5">
        <v>0</v>
      </c>
      <c r="L185" s="5">
        <v>3.1</v>
      </c>
      <c r="M185" s="5">
        <v>819660.59</v>
      </c>
      <c r="N185" s="5">
        <v>172699.95</v>
      </c>
    </row>
    <row r="186" spans="1:14" x14ac:dyDescent="0.3">
      <c r="A186" s="5" t="s">
        <v>72</v>
      </c>
      <c r="B186" s="6">
        <v>45658</v>
      </c>
      <c r="C186" s="5" t="s">
        <v>24</v>
      </c>
      <c r="D186" s="5" t="s">
        <v>22</v>
      </c>
      <c r="E186" s="5">
        <v>71941.62</v>
      </c>
      <c r="F186" s="5">
        <v>6084</v>
      </c>
      <c r="G186" s="5">
        <v>7.1999999999999995E-2</v>
      </c>
      <c r="H186" s="5">
        <v>13</v>
      </c>
      <c r="I186" s="5">
        <v>93.7</v>
      </c>
      <c r="J186" s="5">
        <v>2.34</v>
      </c>
      <c r="K186" s="5">
        <v>0</v>
      </c>
      <c r="L186" s="5">
        <v>4.4000000000000004</v>
      </c>
      <c r="M186" s="5">
        <v>681855.56</v>
      </c>
      <c r="N186" s="5">
        <v>117645.61</v>
      </c>
    </row>
    <row r="187" spans="1:14" x14ac:dyDescent="0.3">
      <c r="A187" s="5" t="s">
        <v>72</v>
      </c>
      <c r="B187" s="6">
        <v>45689</v>
      </c>
      <c r="C187" s="5" t="s">
        <v>24</v>
      </c>
      <c r="D187" s="5" t="s">
        <v>22</v>
      </c>
      <c r="E187" s="5">
        <v>57147.88</v>
      </c>
      <c r="F187" s="5">
        <v>5252</v>
      </c>
      <c r="G187" s="5">
        <v>0.161</v>
      </c>
      <c r="H187" s="5">
        <v>15</v>
      </c>
      <c r="I187" s="5">
        <v>95.5</v>
      </c>
      <c r="J187" s="5">
        <v>8.51</v>
      </c>
      <c r="K187" s="5">
        <v>0</v>
      </c>
      <c r="L187" s="5">
        <v>4.4000000000000004</v>
      </c>
      <c r="M187" s="5">
        <v>678311.17</v>
      </c>
      <c r="N187" s="5">
        <v>132029.76000000001</v>
      </c>
    </row>
    <row r="188" spans="1:14" x14ac:dyDescent="0.3">
      <c r="A188" s="5" t="s">
        <v>72</v>
      </c>
      <c r="B188" s="6">
        <v>45717</v>
      </c>
      <c r="C188" s="5" t="s">
        <v>24</v>
      </c>
      <c r="D188" s="5" t="s">
        <v>22</v>
      </c>
      <c r="E188" s="5">
        <v>48031.74</v>
      </c>
      <c r="F188" s="5">
        <v>6516</v>
      </c>
      <c r="G188" s="5">
        <v>6.7000000000000004E-2</v>
      </c>
      <c r="H188" s="5">
        <v>14</v>
      </c>
      <c r="I188" s="5">
        <v>99</v>
      </c>
      <c r="J188" s="5">
        <v>0.48</v>
      </c>
      <c r="K188" s="5">
        <v>1</v>
      </c>
      <c r="L188" s="5">
        <v>4.3</v>
      </c>
      <c r="M188" s="5">
        <v>765906.95</v>
      </c>
      <c r="N188" s="5">
        <v>114005.9</v>
      </c>
    </row>
    <row r="189" spans="1:14" x14ac:dyDescent="0.3">
      <c r="A189" s="5" t="s">
        <v>72</v>
      </c>
      <c r="B189" s="6">
        <v>45748</v>
      </c>
      <c r="C189" s="5" t="s">
        <v>24</v>
      </c>
      <c r="D189" s="5" t="s">
        <v>22</v>
      </c>
      <c r="E189" s="5">
        <v>72784.800000000003</v>
      </c>
      <c r="F189" s="5">
        <v>7932</v>
      </c>
      <c r="G189" s="5">
        <v>9.4E-2</v>
      </c>
      <c r="H189" s="5">
        <v>20</v>
      </c>
      <c r="I189" s="5">
        <v>74.900000000000006</v>
      </c>
      <c r="J189" s="5">
        <v>13.62</v>
      </c>
      <c r="K189" s="5">
        <v>0</v>
      </c>
      <c r="L189" s="5">
        <v>4.2</v>
      </c>
      <c r="M189" s="5">
        <v>712546.38</v>
      </c>
      <c r="N189" s="5">
        <v>101480.04</v>
      </c>
    </row>
    <row r="190" spans="1:14" x14ac:dyDescent="0.3">
      <c r="A190" s="5" t="s">
        <v>73</v>
      </c>
      <c r="B190" s="6">
        <v>45658</v>
      </c>
      <c r="C190" s="5" t="s">
        <v>16</v>
      </c>
      <c r="D190" s="5" t="s">
        <v>22</v>
      </c>
      <c r="E190" s="5">
        <v>71641.899999999994</v>
      </c>
      <c r="F190" s="5">
        <v>3506</v>
      </c>
      <c r="G190" s="5">
        <v>0</v>
      </c>
      <c r="H190" s="5">
        <v>11</v>
      </c>
      <c r="I190" s="5">
        <v>86.4</v>
      </c>
      <c r="J190" s="5">
        <v>7.77</v>
      </c>
      <c r="K190" s="5">
        <v>0</v>
      </c>
      <c r="L190" s="5">
        <v>4.0999999999999996</v>
      </c>
      <c r="M190" s="5">
        <v>625993.82999999996</v>
      </c>
      <c r="N190" s="5">
        <v>98960.320000000007</v>
      </c>
    </row>
    <row r="191" spans="1:14" x14ac:dyDescent="0.3">
      <c r="A191" s="5" t="s">
        <v>73</v>
      </c>
      <c r="B191" s="6">
        <v>45689</v>
      </c>
      <c r="C191" s="5" t="s">
        <v>16</v>
      </c>
      <c r="D191" s="5" t="s">
        <v>22</v>
      </c>
      <c r="E191" s="5">
        <v>55788.61</v>
      </c>
      <c r="F191" s="5">
        <v>2312</v>
      </c>
      <c r="G191" s="5">
        <v>5.8000000000000003E-2</v>
      </c>
      <c r="H191" s="5">
        <v>10</v>
      </c>
      <c r="I191" s="5">
        <v>91.3</v>
      </c>
      <c r="J191" s="5">
        <v>1.99</v>
      </c>
      <c r="K191" s="5">
        <v>0</v>
      </c>
      <c r="L191" s="5">
        <v>3.8</v>
      </c>
      <c r="M191" s="5">
        <v>550962.93000000005</v>
      </c>
      <c r="N191" s="5">
        <v>97144.58</v>
      </c>
    </row>
    <row r="192" spans="1:14" x14ac:dyDescent="0.3">
      <c r="A192" s="5" t="s">
        <v>73</v>
      </c>
      <c r="B192" s="6">
        <v>45717</v>
      </c>
      <c r="C192" s="5" t="s">
        <v>16</v>
      </c>
      <c r="D192" s="5" t="s">
        <v>22</v>
      </c>
      <c r="E192" s="5">
        <v>37705.879999999997</v>
      </c>
      <c r="F192" s="5">
        <v>1268</v>
      </c>
      <c r="G192" s="5">
        <v>0.25900000000000001</v>
      </c>
      <c r="H192" s="5">
        <v>9</v>
      </c>
      <c r="I192" s="5">
        <v>84.1</v>
      </c>
      <c r="J192" s="5">
        <v>4.7699999999999996</v>
      </c>
      <c r="K192" s="5">
        <v>0</v>
      </c>
      <c r="L192" s="5">
        <v>3.8</v>
      </c>
      <c r="M192" s="5">
        <v>443275.59</v>
      </c>
      <c r="N192" s="5">
        <v>53544.36</v>
      </c>
    </row>
    <row r="193" spans="1:14" x14ac:dyDescent="0.3">
      <c r="A193" s="5" t="s">
        <v>73</v>
      </c>
      <c r="B193" s="6">
        <v>45748</v>
      </c>
      <c r="C193" s="5" t="s">
        <v>16</v>
      </c>
      <c r="D193" s="5" t="s">
        <v>22</v>
      </c>
      <c r="E193" s="5">
        <v>54966.18</v>
      </c>
      <c r="F193" s="5">
        <v>4423</v>
      </c>
      <c r="G193" s="5">
        <v>0.186</v>
      </c>
      <c r="H193" s="5">
        <v>13</v>
      </c>
      <c r="I193" s="5">
        <v>88.7</v>
      </c>
      <c r="J193" s="5">
        <v>0.2</v>
      </c>
      <c r="K193" s="5">
        <v>0</v>
      </c>
      <c r="L193" s="5">
        <v>4.4000000000000004</v>
      </c>
      <c r="M193" s="5">
        <v>554012.06999999995</v>
      </c>
      <c r="N193" s="5">
        <v>81101.62</v>
      </c>
    </row>
    <row r="194" spans="1:14" x14ac:dyDescent="0.3">
      <c r="A194" s="5" t="s">
        <v>74</v>
      </c>
      <c r="B194" s="6">
        <v>45658</v>
      </c>
      <c r="C194" s="5" t="s">
        <v>31</v>
      </c>
      <c r="D194" s="5" t="s">
        <v>17</v>
      </c>
      <c r="E194" s="5">
        <v>81796.740000000005</v>
      </c>
      <c r="F194" s="5">
        <v>6177</v>
      </c>
      <c r="G194" s="5">
        <v>0.16400000000000001</v>
      </c>
      <c r="H194" s="5">
        <v>14</v>
      </c>
      <c r="I194" s="5">
        <v>87.9</v>
      </c>
      <c r="J194" s="5">
        <v>0.53</v>
      </c>
      <c r="K194" s="5">
        <v>0</v>
      </c>
      <c r="L194" s="5">
        <v>3.2</v>
      </c>
      <c r="M194" s="5">
        <v>643428.85</v>
      </c>
      <c r="N194" s="5">
        <v>94477.63</v>
      </c>
    </row>
    <row r="195" spans="1:14" x14ac:dyDescent="0.3">
      <c r="A195" s="5" t="s">
        <v>74</v>
      </c>
      <c r="B195" s="6">
        <v>45689</v>
      </c>
      <c r="C195" s="5" t="s">
        <v>31</v>
      </c>
      <c r="D195" s="5" t="s">
        <v>17</v>
      </c>
      <c r="E195" s="5">
        <v>51133.43</v>
      </c>
      <c r="F195" s="5">
        <v>5150</v>
      </c>
      <c r="G195" s="5">
        <v>0.15</v>
      </c>
      <c r="H195" s="5">
        <v>12</v>
      </c>
      <c r="I195" s="5">
        <v>88.5</v>
      </c>
      <c r="J195" s="5">
        <v>1.54</v>
      </c>
      <c r="K195" s="5">
        <v>0</v>
      </c>
      <c r="L195" s="5">
        <v>3.2</v>
      </c>
      <c r="M195" s="5">
        <v>611924.27</v>
      </c>
      <c r="N195" s="5">
        <v>115488.75</v>
      </c>
    </row>
    <row r="196" spans="1:14" x14ac:dyDescent="0.3">
      <c r="A196" s="5" t="s">
        <v>74</v>
      </c>
      <c r="B196" s="6">
        <v>45717</v>
      </c>
      <c r="C196" s="5" t="s">
        <v>31</v>
      </c>
      <c r="D196" s="5" t="s">
        <v>17</v>
      </c>
      <c r="E196" s="5">
        <v>40220.18</v>
      </c>
      <c r="F196" s="5">
        <v>3783</v>
      </c>
      <c r="G196" s="5">
        <v>8.8999999999999996E-2</v>
      </c>
      <c r="H196" s="5">
        <v>14</v>
      </c>
      <c r="I196" s="5">
        <v>86.6</v>
      </c>
      <c r="J196" s="5">
        <v>3.63</v>
      </c>
      <c r="K196" s="5">
        <v>0</v>
      </c>
      <c r="L196" s="5">
        <v>3.7</v>
      </c>
      <c r="M196" s="5">
        <v>559422.02</v>
      </c>
      <c r="N196" s="5">
        <v>73528.740000000005</v>
      </c>
    </row>
    <row r="197" spans="1:14" x14ac:dyDescent="0.3">
      <c r="A197" s="5" t="s">
        <v>74</v>
      </c>
      <c r="B197" s="6">
        <v>45748</v>
      </c>
      <c r="C197" s="5" t="s">
        <v>31</v>
      </c>
      <c r="D197" s="5" t="s">
        <v>17</v>
      </c>
      <c r="E197" s="5">
        <v>41657.64</v>
      </c>
      <c r="F197" s="5">
        <v>3135</v>
      </c>
      <c r="G197" s="5">
        <v>0.22900000000000001</v>
      </c>
      <c r="H197" s="5">
        <v>7</v>
      </c>
      <c r="I197" s="5">
        <v>85.4</v>
      </c>
      <c r="J197" s="5">
        <v>13.48</v>
      </c>
      <c r="K197" s="5">
        <v>0</v>
      </c>
      <c r="L197" s="5">
        <v>3.9246789999999998</v>
      </c>
      <c r="M197" s="5">
        <v>449465.06</v>
      </c>
      <c r="N197" s="5">
        <v>65694.78</v>
      </c>
    </row>
    <row r="198" spans="1:14" x14ac:dyDescent="0.3">
      <c r="A198" s="5" t="s">
        <v>75</v>
      </c>
      <c r="B198" s="6">
        <v>45658</v>
      </c>
      <c r="C198" s="5" t="s">
        <v>24</v>
      </c>
      <c r="D198" s="5" t="s">
        <v>17</v>
      </c>
      <c r="E198" s="5">
        <v>71851.45</v>
      </c>
      <c r="F198" s="5">
        <v>4970</v>
      </c>
      <c r="G198" s="5">
        <v>9.8000000000000004E-2</v>
      </c>
      <c r="H198" s="5">
        <v>11</v>
      </c>
      <c r="I198" s="5">
        <v>89.6</v>
      </c>
      <c r="J198" s="5">
        <v>0.2</v>
      </c>
      <c r="K198" s="5">
        <v>0</v>
      </c>
      <c r="L198" s="5">
        <v>4.2</v>
      </c>
      <c r="M198" s="5">
        <v>691447.43</v>
      </c>
      <c r="N198" s="5">
        <v>114077.69</v>
      </c>
    </row>
    <row r="199" spans="1:14" x14ac:dyDescent="0.3">
      <c r="A199" s="5" t="s">
        <v>75</v>
      </c>
      <c r="B199" s="6">
        <v>45689</v>
      </c>
      <c r="C199" s="5" t="s">
        <v>24</v>
      </c>
      <c r="D199" s="5" t="s">
        <v>17</v>
      </c>
      <c r="E199" s="5">
        <v>54002.83</v>
      </c>
      <c r="F199" s="5">
        <v>4366</v>
      </c>
      <c r="G199" s="5">
        <v>2.7E-2</v>
      </c>
      <c r="H199" s="5">
        <v>15</v>
      </c>
      <c r="I199" s="5">
        <v>90.6</v>
      </c>
      <c r="J199" s="5">
        <v>12.82</v>
      </c>
      <c r="K199" s="5">
        <v>0</v>
      </c>
      <c r="L199" s="5">
        <v>4.5999999999999996</v>
      </c>
      <c r="M199" s="5">
        <v>574066.61</v>
      </c>
      <c r="N199" s="5">
        <v>124674.67</v>
      </c>
    </row>
    <row r="200" spans="1:14" x14ac:dyDescent="0.3">
      <c r="A200" s="5" t="s">
        <v>75</v>
      </c>
      <c r="B200" s="6">
        <v>45717</v>
      </c>
      <c r="C200" s="5" t="s">
        <v>24</v>
      </c>
      <c r="D200" s="5" t="s">
        <v>17</v>
      </c>
      <c r="E200" s="5">
        <v>54479.33</v>
      </c>
      <c r="F200" s="5">
        <v>5012</v>
      </c>
      <c r="G200" s="5">
        <v>0.28399999999999997</v>
      </c>
      <c r="H200" s="5">
        <v>13</v>
      </c>
      <c r="I200" s="5">
        <v>86</v>
      </c>
      <c r="J200" s="5">
        <v>2.2400000000000002</v>
      </c>
      <c r="K200" s="5">
        <v>1</v>
      </c>
      <c r="L200" s="5">
        <v>4.3</v>
      </c>
      <c r="M200" s="5">
        <v>578949.84</v>
      </c>
      <c r="N200" s="5">
        <v>80253.649999999994</v>
      </c>
    </row>
    <row r="201" spans="1:14" x14ac:dyDescent="0.3">
      <c r="A201" s="5" t="s">
        <v>75</v>
      </c>
      <c r="B201" s="6">
        <v>45748</v>
      </c>
      <c r="C201" s="5" t="s">
        <v>24</v>
      </c>
      <c r="D201" s="5" t="s">
        <v>17</v>
      </c>
      <c r="E201" s="5">
        <v>61391.8</v>
      </c>
      <c r="F201" s="5">
        <v>5575</v>
      </c>
      <c r="G201" s="5">
        <v>0.189</v>
      </c>
      <c r="H201" s="5">
        <v>18</v>
      </c>
      <c r="I201" s="5">
        <v>90</v>
      </c>
      <c r="J201" s="5">
        <v>1.8</v>
      </c>
      <c r="K201" s="5">
        <v>0</v>
      </c>
      <c r="L201" s="5">
        <v>4.8</v>
      </c>
      <c r="M201" s="5">
        <v>735786.64</v>
      </c>
      <c r="N201" s="5">
        <v>126540.66</v>
      </c>
    </row>
    <row r="202" spans="1:14" x14ac:dyDescent="0.3">
      <c r="A202" s="5" t="s">
        <v>76</v>
      </c>
      <c r="B202" s="6">
        <v>45658</v>
      </c>
      <c r="C202" s="5" t="s">
        <v>16</v>
      </c>
      <c r="D202" s="5" t="s">
        <v>25</v>
      </c>
      <c r="E202" s="5">
        <v>22312.93</v>
      </c>
      <c r="F202" s="5">
        <v>5955</v>
      </c>
      <c r="G202" s="5">
        <v>0.123</v>
      </c>
      <c r="H202" s="5">
        <v>13</v>
      </c>
      <c r="I202" s="5">
        <v>84.2</v>
      </c>
      <c r="J202" s="5">
        <v>0.41</v>
      </c>
      <c r="K202" s="5">
        <v>1</v>
      </c>
      <c r="L202" s="5">
        <v>4.5999999999999996</v>
      </c>
      <c r="M202" s="5">
        <v>598904.9</v>
      </c>
      <c r="N202" s="5">
        <v>72861</v>
      </c>
    </row>
    <row r="203" spans="1:14" x14ac:dyDescent="0.3">
      <c r="A203" s="5" t="s">
        <v>76</v>
      </c>
      <c r="B203" s="6">
        <v>45689</v>
      </c>
      <c r="C203" s="5" t="s">
        <v>16</v>
      </c>
      <c r="D203" s="5" t="s">
        <v>25</v>
      </c>
      <c r="E203" s="5">
        <v>78111.97</v>
      </c>
      <c r="F203" s="5">
        <v>6389</v>
      </c>
      <c r="G203" s="5">
        <v>0.15</v>
      </c>
      <c r="H203" s="5">
        <v>13</v>
      </c>
      <c r="I203" s="5">
        <v>83.9</v>
      </c>
      <c r="J203" s="5">
        <v>3.05</v>
      </c>
      <c r="K203" s="5">
        <v>0</v>
      </c>
      <c r="L203" s="5">
        <v>4.8</v>
      </c>
      <c r="M203" s="5">
        <v>787715.51</v>
      </c>
      <c r="N203" s="5">
        <v>128969.62</v>
      </c>
    </row>
    <row r="204" spans="1:14" x14ac:dyDescent="0.3">
      <c r="A204" s="5" t="s">
        <v>76</v>
      </c>
      <c r="B204" s="6">
        <v>45717</v>
      </c>
      <c r="C204" s="5" t="s">
        <v>16</v>
      </c>
      <c r="D204" s="5" t="s">
        <v>25</v>
      </c>
      <c r="E204" s="5">
        <v>35203.230000000003</v>
      </c>
      <c r="F204" s="5">
        <v>6896</v>
      </c>
      <c r="G204" s="5">
        <v>3.2000000000000001E-2</v>
      </c>
      <c r="H204" s="5">
        <v>14</v>
      </c>
      <c r="I204" s="5">
        <v>80.8</v>
      </c>
      <c r="J204" s="5">
        <v>8.44</v>
      </c>
      <c r="K204" s="5">
        <v>1</v>
      </c>
      <c r="L204" s="5">
        <v>5</v>
      </c>
      <c r="M204" s="5">
        <v>607084.92000000004</v>
      </c>
      <c r="N204" s="5">
        <v>98558.49</v>
      </c>
    </row>
    <row r="205" spans="1:14" x14ac:dyDescent="0.3">
      <c r="A205" s="5" t="s">
        <v>76</v>
      </c>
      <c r="B205" s="6">
        <v>45748</v>
      </c>
      <c r="C205" s="5" t="s">
        <v>16</v>
      </c>
      <c r="D205" s="5" t="s">
        <v>25</v>
      </c>
      <c r="E205" s="5">
        <v>64104.28</v>
      </c>
      <c r="F205" s="5">
        <v>6015</v>
      </c>
      <c r="G205" s="5">
        <v>0.127</v>
      </c>
      <c r="H205" s="5">
        <v>15</v>
      </c>
      <c r="I205" s="5">
        <v>88.7</v>
      </c>
      <c r="J205" s="5">
        <v>0.78</v>
      </c>
      <c r="K205" s="5">
        <v>0</v>
      </c>
      <c r="L205" s="5">
        <v>4</v>
      </c>
      <c r="M205" s="5">
        <v>650795.49</v>
      </c>
      <c r="N205" s="5">
        <v>103035.89</v>
      </c>
    </row>
    <row r="206" spans="1:14" x14ac:dyDescent="0.3">
      <c r="A206" s="5" t="s">
        <v>77</v>
      </c>
      <c r="B206" s="6">
        <v>45658</v>
      </c>
      <c r="C206" s="5" t="s">
        <v>16</v>
      </c>
      <c r="D206" s="5" t="s">
        <v>32</v>
      </c>
      <c r="E206" s="5">
        <v>92090.14</v>
      </c>
      <c r="F206" s="5">
        <v>9476</v>
      </c>
      <c r="G206" s="5">
        <v>7.0000000000000007E-2</v>
      </c>
      <c r="H206" s="5">
        <v>24</v>
      </c>
      <c r="I206" s="5">
        <v>94.3</v>
      </c>
      <c r="J206" s="5">
        <v>0.87</v>
      </c>
      <c r="K206" s="5">
        <v>0</v>
      </c>
      <c r="L206" s="5">
        <v>3.7</v>
      </c>
      <c r="M206" s="5">
        <v>825060.52</v>
      </c>
      <c r="N206" s="5">
        <v>143613.15</v>
      </c>
    </row>
    <row r="207" spans="1:14" x14ac:dyDescent="0.3">
      <c r="A207" s="5" t="s">
        <v>77</v>
      </c>
      <c r="B207" s="6">
        <v>45689</v>
      </c>
      <c r="C207" s="5" t="s">
        <v>16</v>
      </c>
      <c r="D207" s="5" t="s">
        <v>32</v>
      </c>
      <c r="E207" s="5">
        <v>54300.87</v>
      </c>
      <c r="F207" s="5">
        <v>7875</v>
      </c>
      <c r="G207" s="5">
        <v>0.107</v>
      </c>
      <c r="H207" s="5">
        <v>19</v>
      </c>
      <c r="I207" s="5">
        <v>94.1</v>
      </c>
      <c r="J207" s="5">
        <v>0.95</v>
      </c>
      <c r="K207" s="5">
        <v>0</v>
      </c>
      <c r="L207" s="5">
        <v>3.7</v>
      </c>
      <c r="M207" s="5">
        <v>795464.47</v>
      </c>
      <c r="N207" s="5">
        <v>161150.51999999999</v>
      </c>
    </row>
    <row r="208" spans="1:14" x14ac:dyDescent="0.3">
      <c r="A208" s="5" t="s">
        <v>77</v>
      </c>
      <c r="B208" s="6">
        <v>45717</v>
      </c>
      <c r="C208" s="5" t="s">
        <v>16</v>
      </c>
      <c r="D208" s="5" t="s">
        <v>32</v>
      </c>
      <c r="E208" s="5">
        <v>37983.35</v>
      </c>
      <c r="F208" s="5">
        <v>9283</v>
      </c>
      <c r="G208" s="5">
        <v>0.14899999999999999</v>
      </c>
      <c r="H208" s="5">
        <v>19</v>
      </c>
      <c r="I208" s="5">
        <v>83.2</v>
      </c>
      <c r="J208" s="5">
        <v>3.82</v>
      </c>
      <c r="K208" s="5">
        <v>0</v>
      </c>
      <c r="L208" s="5">
        <v>3.7</v>
      </c>
      <c r="M208" s="5">
        <v>671868.59</v>
      </c>
      <c r="N208" s="5">
        <v>71003.28</v>
      </c>
    </row>
    <row r="209" spans="1:14" x14ac:dyDescent="0.3">
      <c r="A209" s="5" t="s">
        <v>77</v>
      </c>
      <c r="B209" s="6">
        <v>45748</v>
      </c>
      <c r="C209" s="5" t="s">
        <v>16</v>
      </c>
      <c r="D209" s="5" t="s">
        <v>32</v>
      </c>
      <c r="E209" s="5">
        <v>56413.83</v>
      </c>
      <c r="F209" s="5">
        <v>8303</v>
      </c>
      <c r="G209" s="5">
        <v>0.11600000000000001</v>
      </c>
      <c r="H209" s="5">
        <v>18</v>
      </c>
      <c r="I209" s="5">
        <v>93.6</v>
      </c>
      <c r="J209" s="5">
        <v>2.7</v>
      </c>
      <c r="K209" s="5">
        <v>0</v>
      </c>
      <c r="L209" s="5">
        <v>3.7</v>
      </c>
      <c r="M209" s="5">
        <v>675917.63</v>
      </c>
      <c r="N209" s="5">
        <v>112564.75</v>
      </c>
    </row>
    <row r="210" spans="1:14" x14ac:dyDescent="0.3">
      <c r="A210" s="5" t="s">
        <v>78</v>
      </c>
      <c r="B210" s="6">
        <v>45658</v>
      </c>
      <c r="C210" s="5" t="s">
        <v>16</v>
      </c>
      <c r="D210" s="5" t="s">
        <v>22</v>
      </c>
      <c r="E210" s="5">
        <v>63457.19</v>
      </c>
      <c r="F210" s="5">
        <v>10125</v>
      </c>
      <c r="G210" s="5">
        <v>9.7000000000000003E-2</v>
      </c>
      <c r="H210" s="5">
        <v>24</v>
      </c>
      <c r="I210" s="5">
        <v>87</v>
      </c>
      <c r="J210" s="5">
        <v>3.84</v>
      </c>
      <c r="K210" s="5">
        <v>1</v>
      </c>
      <c r="L210" s="5">
        <v>3.7</v>
      </c>
      <c r="M210" s="5">
        <v>810446.53</v>
      </c>
      <c r="N210" s="5">
        <v>200575.34</v>
      </c>
    </row>
    <row r="211" spans="1:14" x14ac:dyDescent="0.3">
      <c r="A211" s="5" t="s">
        <v>78</v>
      </c>
      <c r="B211" s="6">
        <v>45689</v>
      </c>
      <c r="C211" s="5" t="s">
        <v>16</v>
      </c>
      <c r="D211" s="5" t="s">
        <v>22</v>
      </c>
      <c r="E211" s="5">
        <v>62949.7</v>
      </c>
      <c r="F211" s="5">
        <v>9458</v>
      </c>
      <c r="G211" s="5">
        <v>0.17100000000000001</v>
      </c>
      <c r="H211" s="5">
        <v>19</v>
      </c>
      <c r="I211" s="5">
        <v>84.9</v>
      </c>
      <c r="J211" s="5">
        <v>5.09</v>
      </c>
      <c r="K211" s="5">
        <v>0</v>
      </c>
      <c r="L211" s="5">
        <v>3.3</v>
      </c>
      <c r="M211" s="5">
        <v>691288.19</v>
      </c>
      <c r="N211" s="5">
        <v>159074.14000000001</v>
      </c>
    </row>
    <row r="212" spans="1:14" x14ac:dyDescent="0.3">
      <c r="A212" s="5" t="s">
        <v>78</v>
      </c>
      <c r="B212" s="6">
        <v>45717</v>
      </c>
      <c r="C212" s="5" t="s">
        <v>16</v>
      </c>
      <c r="D212" s="5" t="s">
        <v>22</v>
      </c>
      <c r="E212" s="5">
        <v>107970.19</v>
      </c>
      <c r="F212" s="5">
        <v>12870</v>
      </c>
      <c r="G212" s="5">
        <v>2.9000000000000001E-2</v>
      </c>
      <c r="H212" s="5">
        <v>31</v>
      </c>
      <c r="I212" s="5">
        <v>91.7</v>
      </c>
      <c r="J212" s="5">
        <v>3.82</v>
      </c>
      <c r="K212" s="5">
        <v>1</v>
      </c>
      <c r="L212" s="5">
        <v>3.7</v>
      </c>
      <c r="M212" s="5">
        <v>946833.54</v>
      </c>
      <c r="N212" s="5">
        <v>184540.31</v>
      </c>
    </row>
    <row r="213" spans="1:14" x14ac:dyDescent="0.3">
      <c r="A213" s="5" t="s">
        <v>78</v>
      </c>
      <c r="B213" s="6">
        <v>45748</v>
      </c>
      <c r="C213" s="5" t="s">
        <v>16</v>
      </c>
      <c r="D213" s="5" t="s">
        <v>22</v>
      </c>
      <c r="E213" s="5">
        <v>49405.75</v>
      </c>
      <c r="F213" s="5">
        <v>9752</v>
      </c>
      <c r="G213" s="5">
        <v>9.2999999999999999E-2</v>
      </c>
      <c r="H213" s="5">
        <v>21</v>
      </c>
      <c r="I213" s="5">
        <v>87</v>
      </c>
      <c r="J213" s="5">
        <v>12.28</v>
      </c>
      <c r="K213" s="5">
        <v>0</v>
      </c>
      <c r="L213" s="5">
        <v>4.0999999999999996</v>
      </c>
      <c r="M213" s="5">
        <v>761963.23</v>
      </c>
      <c r="N213" s="5">
        <v>150113.60999999999</v>
      </c>
    </row>
    <row r="214" spans="1:14" x14ac:dyDescent="0.3">
      <c r="A214" s="5" t="s">
        <v>79</v>
      </c>
      <c r="B214" s="6">
        <v>45658</v>
      </c>
      <c r="C214" s="5" t="s">
        <v>31</v>
      </c>
      <c r="D214" s="5" t="s">
        <v>17</v>
      </c>
      <c r="E214" s="5">
        <v>50887.46</v>
      </c>
      <c r="F214" s="5">
        <v>9505</v>
      </c>
      <c r="G214" s="5">
        <v>9.0999999999999998E-2</v>
      </c>
      <c r="H214" s="5">
        <v>25</v>
      </c>
      <c r="I214" s="5">
        <v>89.7</v>
      </c>
      <c r="J214" s="5">
        <v>2.8</v>
      </c>
      <c r="K214" s="5">
        <v>0</v>
      </c>
      <c r="L214" s="5">
        <v>4.3</v>
      </c>
      <c r="M214" s="5">
        <v>812152.6</v>
      </c>
      <c r="N214" s="5">
        <v>138419.43</v>
      </c>
    </row>
    <row r="215" spans="1:14" x14ac:dyDescent="0.3">
      <c r="A215" s="5" t="s">
        <v>79</v>
      </c>
      <c r="B215" s="6">
        <v>45689</v>
      </c>
      <c r="C215" s="5" t="s">
        <v>31</v>
      </c>
      <c r="D215" s="5" t="s">
        <v>17</v>
      </c>
      <c r="E215" s="5">
        <v>41819.449999999997</v>
      </c>
      <c r="F215" s="5">
        <v>9412</v>
      </c>
      <c r="G215" s="5">
        <v>0.15</v>
      </c>
      <c r="H215" s="5">
        <v>22</v>
      </c>
      <c r="I215" s="5">
        <v>91</v>
      </c>
      <c r="J215" s="5">
        <v>3.67</v>
      </c>
      <c r="K215" s="5">
        <v>0</v>
      </c>
      <c r="L215" s="5">
        <v>4.2</v>
      </c>
      <c r="M215" s="5">
        <v>804975.5</v>
      </c>
      <c r="N215" s="5">
        <v>140054.5</v>
      </c>
    </row>
    <row r="216" spans="1:14" x14ac:dyDescent="0.3">
      <c r="A216" s="5" t="s">
        <v>79</v>
      </c>
      <c r="B216" s="6">
        <v>45717</v>
      </c>
      <c r="C216" s="5" t="s">
        <v>31</v>
      </c>
      <c r="D216" s="5" t="s">
        <v>17</v>
      </c>
      <c r="E216" s="5">
        <v>35296.54</v>
      </c>
      <c r="F216" s="5">
        <v>9644</v>
      </c>
      <c r="G216" s="5">
        <v>0</v>
      </c>
      <c r="H216" s="5">
        <v>22</v>
      </c>
      <c r="I216" s="5">
        <v>88</v>
      </c>
      <c r="J216" s="5">
        <v>2.81</v>
      </c>
      <c r="K216" s="5">
        <v>0</v>
      </c>
      <c r="L216" s="5">
        <v>4.7</v>
      </c>
      <c r="M216" s="5">
        <v>752321.72</v>
      </c>
      <c r="N216" s="5">
        <v>137788.51</v>
      </c>
    </row>
    <row r="217" spans="1:14" x14ac:dyDescent="0.3">
      <c r="A217" s="5" t="s">
        <v>79</v>
      </c>
      <c r="B217" s="6">
        <v>45748</v>
      </c>
      <c r="C217" s="5" t="s">
        <v>31</v>
      </c>
      <c r="D217" s="5" t="s">
        <v>17</v>
      </c>
      <c r="E217" s="5">
        <v>47391.09</v>
      </c>
      <c r="F217" s="5">
        <v>11224</v>
      </c>
      <c r="G217" s="5">
        <v>0.14699999999999999</v>
      </c>
      <c r="H217" s="5">
        <v>25</v>
      </c>
      <c r="I217" s="5">
        <v>88.4</v>
      </c>
      <c r="J217" s="5">
        <v>2.44</v>
      </c>
      <c r="K217" s="5">
        <v>0</v>
      </c>
      <c r="L217" s="5">
        <v>4.9000000000000004</v>
      </c>
      <c r="M217" s="5">
        <v>836908.24</v>
      </c>
      <c r="N217" s="5">
        <v>141090.26</v>
      </c>
    </row>
    <row r="218" spans="1:14" x14ac:dyDescent="0.3">
      <c r="A218" s="5" t="s">
        <v>80</v>
      </c>
      <c r="B218" s="6">
        <v>45658</v>
      </c>
      <c r="C218" s="5" t="s">
        <v>24</v>
      </c>
      <c r="D218" s="5" t="s">
        <v>25</v>
      </c>
      <c r="E218" s="5">
        <v>69180.539999999994</v>
      </c>
      <c r="F218" s="5">
        <v>5394</v>
      </c>
      <c r="G218" s="5">
        <v>0.126</v>
      </c>
      <c r="H218" s="5">
        <v>12</v>
      </c>
      <c r="I218" s="5">
        <v>82.9</v>
      </c>
      <c r="J218" s="5">
        <v>3.27</v>
      </c>
      <c r="K218" s="5">
        <v>0</v>
      </c>
      <c r="L218" s="5">
        <v>3.3</v>
      </c>
      <c r="M218" s="5">
        <v>674289.1</v>
      </c>
      <c r="N218" s="5">
        <v>117773.79</v>
      </c>
    </row>
    <row r="219" spans="1:14" x14ac:dyDescent="0.3">
      <c r="A219" s="5" t="s">
        <v>80</v>
      </c>
      <c r="B219" s="6">
        <v>45689</v>
      </c>
      <c r="C219" s="5" t="s">
        <v>24</v>
      </c>
      <c r="D219" s="5" t="s">
        <v>25</v>
      </c>
      <c r="E219" s="5">
        <v>33987.33</v>
      </c>
      <c r="F219" s="5">
        <v>5014</v>
      </c>
      <c r="G219" s="5">
        <v>0.246</v>
      </c>
      <c r="H219" s="5">
        <v>17</v>
      </c>
      <c r="I219" s="5">
        <v>94.3</v>
      </c>
      <c r="J219" s="5">
        <v>10.34</v>
      </c>
      <c r="K219" s="5">
        <v>0</v>
      </c>
      <c r="L219" s="5">
        <v>3.9</v>
      </c>
      <c r="M219" s="5">
        <v>622892.42000000004</v>
      </c>
      <c r="N219" s="5">
        <v>101032.52</v>
      </c>
    </row>
    <row r="220" spans="1:14" x14ac:dyDescent="0.3">
      <c r="A220" s="5" t="s">
        <v>80</v>
      </c>
      <c r="B220" s="6">
        <v>45717</v>
      </c>
      <c r="C220" s="5" t="s">
        <v>24</v>
      </c>
      <c r="D220" s="5" t="s">
        <v>25</v>
      </c>
      <c r="E220" s="5">
        <v>58785.33</v>
      </c>
      <c r="F220" s="5">
        <v>4467</v>
      </c>
      <c r="G220" s="5">
        <v>0.22900000000000001</v>
      </c>
      <c r="H220" s="5">
        <v>14</v>
      </c>
      <c r="I220" s="5">
        <v>90.7</v>
      </c>
      <c r="J220" s="5">
        <v>1.92</v>
      </c>
      <c r="K220" s="5">
        <v>0</v>
      </c>
      <c r="L220" s="5">
        <v>3.7</v>
      </c>
      <c r="M220" s="5">
        <v>673348.56</v>
      </c>
      <c r="N220" s="5">
        <v>69464.59</v>
      </c>
    </row>
    <row r="221" spans="1:14" x14ac:dyDescent="0.3">
      <c r="A221" s="5" t="s">
        <v>80</v>
      </c>
      <c r="B221" s="6">
        <v>45748</v>
      </c>
      <c r="C221" s="5" t="s">
        <v>24</v>
      </c>
      <c r="D221" s="5" t="s">
        <v>25</v>
      </c>
      <c r="E221" s="5">
        <v>16451.849999999999</v>
      </c>
      <c r="F221" s="5">
        <v>4678</v>
      </c>
      <c r="G221" s="5">
        <v>0.13300000000000001</v>
      </c>
      <c r="H221" s="5">
        <v>11</v>
      </c>
      <c r="I221" s="5">
        <v>95.9</v>
      </c>
      <c r="J221" s="5">
        <v>3.1</v>
      </c>
      <c r="K221" s="5">
        <v>0</v>
      </c>
      <c r="L221" s="5">
        <v>3.9</v>
      </c>
      <c r="M221" s="5">
        <v>606278.30000000005</v>
      </c>
      <c r="N221" s="5">
        <v>102213.26</v>
      </c>
    </row>
    <row r="222" spans="1:14" x14ac:dyDescent="0.3">
      <c r="A222" s="5" t="s">
        <v>81</v>
      </c>
      <c r="B222" s="6">
        <v>45658</v>
      </c>
      <c r="C222" s="5" t="s">
        <v>16</v>
      </c>
      <c r="D222" s="5" t="s">
        <v>22</v>
      </c>
      <c r="E222" s="5">
        <v>53367.73</v>
      </c>
      <c r="F222" s="5">
        <v>7291</v>
      </c>
      <c r="G222" s="5">
        <v>0.14599999999999999</v>
      </c>
      <c r="H222" s="5">
        <v>18</v>
      </c>
      <c r="I222" s="5">
        <v>90.6</v>
      </c>
      <c r="J222" s="5">
        <v>6.34</v>
      </c>
      <c r="K222" s="5">
        <v>1</v>
      </c>
      <c r="L222" s="5">
        <v>3.8</v>
      </c>
      <c r="M222" s="5">
        <v>712219.81</v>
      </c>
      <c r="N222" s="5">
        <v>85906.54</v>
      </c>
    </row>
    <row r="223" spans="1:14" x14ac:dyDescent="0.3">
      <c r="A223" s="5" t="s">
        <v>81</v>
      </c>
      <c r="B223" s="6">
        <v>45689</v>
      </c>
      <c r="C223" s="5" t="s">
        <v>16</v>
      </c>
      <c r="D223" s="5" t="s">
        <v>22</v>
      </c>
      <c r="E223" s="5">
        <v>27194.639999999999</v>
      </c>
      <c r="F223" s="5">
        <v>7404</v>
      </c>
      <c r="G223" s="5">
        <v>8.7999999999999995E-2</v>
      </c>
      <c r="H223" s="5">
        <v>18</v>
      </c>
      <c r="I223" s="5">
        <v>90.2</v>
      </c>
      <c r="J223" s="5">
        <v>1.2</v>
      </c>
      <c r="K223" s="5">
        <v>0</v>
      </c>
      <c r="L223" s="5">
        <v>3.4</v>
      </c>
      <c r="M223" s="5">
        <v>672670.54</v>
      </c>
      <c r="N223" s="5">
        <v>132684.18</v>
      </c>
    </row>
    <row r="224" spans="1:14" x14ac:dyDescent="0.3">
      <c r="A224" s="5" t="s">
        <v>81</v>
      </c>
      <c r="B224" s="6">
        <v>45717</v>
      </c>
      <c r="C224" s="5" t="s">
        <v>16</v>
      </c>
      <c r="D224" s="5" t="s">
        <v>22</v>
      </c>
      <c r="E224" s="5">
        <v>66962.740000000005</v>
      </c>
      <c r="F224" s="5">
        <v>7880</v>
      </c>
      <c r="G224" s="5">
        <v>0.11600000000000001</v>
      </c>
      <c r="H224" s="5">
        <v>19</v>
      </c>
      <c r="I224" s="5">
        <v>90.4</v>
      </c>
      <c r="J224" s="5">
        <v>4.5</v>
      </c>
      <c r="K224" s="5">
        <v>0</v>
      </c>
      <c r="L224" s="5">
        <v>3.3</v>
      </c>
      <c r="M224" s="5">
        <v>732667.92</v>
      </c>
      <c r="N224" s="5">
        <v>128654.46</v>
      </c>
    </row>
    <row r="225" spans="1:14" x14ac:dyDescent="0.3">
      <c r="A225" s="5" t="s">
        <v>81</v>
      </c>
      <c r="B225" s="6">
        <v>45748</v>
      </c>
      <c r="C225" s="5" t="s">
        <v>16</v>
      </c>
      <c r="D225" s="5" t="s">
        <v>22</v>
      </c>
      <c r="E225" s="5">
        <v>73540.990000000005</v>
      </c>
      <c r="F225" s="5">
        <v>8773</v>
      </c>
      <c r="G225" s="5">
        <v>3.5000000000000003E-2</v>
      </c>
      <c r="H225" s="5">
        <v>21</v>
      </c>
      <c r="I225" s="5">
        <v>84.4</v>
      </c>
      <c r="J225" s="5">
        <v>6.68</v>
      </c>
      <c r="K225" s="5">
        <v>0</v>
      </c>
      <c r="L225" s="5">
        <v>3.6</v>
      </c>
      <c r="M225" s="5">
        <v>723531.4</v>
      </c>
      <c r="N225" s="5">
        <v>108794.85</v>
      </c>
    </row>
    <row r="226" spans="1:14" x14ac:dyDescent="0.3">
      <c r="A226" s="5" t="s">
        <v>82</v>
      </c>
      <c r="B226" s="6">
        <v>45658</v>
      </c>
      <c r="C226" s="5" t="s">
        <v>16</v>
      </c>
      <c r="D226" s="5" t="s">
        <v>32</v>
      </c>
      <c r="E226" s="5">
        <v>68212.289999999994</v>
      </c>
      <c r="F226" s="5">
        <v>4713</v>
      </c>
      <c r="G226" s="5">
        <v>0.19800000000000001</v>
      </c>
      <c r="H226" s="5">
        <v>15</v>
      </c>
      <c r="I226" s="5">
        <v>82.6</v>
      </c>
      <c r="J226" s="5">
        <v>4.07</v>
      </c>
      <c r="K226" s="5">
        <v>1</v>
      </c>
      <c r="L226" s="5">
        <v>3</v>
      </c>
      <c r="M226" s="5">
        <v>641564.6</v>
      </c>
      <c r="N226" s="5">
        <v>90468.96</v>
      </c>
    </row>
    <row r="227" spans="1:14" x14ac:dyDescent="0.3">
      <c r="A227" s="5" t="s">
        <v>82</v>
      </c>
      <c r="B227" s="6">
        <v>45689</v>
      </c>
      <c r="C227" s="5" t="s">
        <v>16</v>
      </c>
      <c r="D227" s="5" t="s">
        <v>32</v>
      </c>
      <c r="E227" s="5">
        <v>57225.98</v>
      </c>
      <c r="F227" s="5">
        <v>2842</v>
      </c>
      <c r="G227" s="5">
        <v>0.112</v>
      </c>
      <c r="H227" s="5">
        <v>10</v>
      </c>
      <c r="I227" s="5">
        <v>79.5</v>
      </c>
      <c r="J227" s="5">
        <v>5.45</v>
      </c>
      <c r="K227" s="5">
        <v>0</v>
      </c>
      <c r="L227" s="5">
        <v>3.4</v>
      </c>
      <c r="M227" s="5">
        <v>536545.49</v>
      </c>
      <c r="N227" s="5">
        <v>97917.45</v>
      </c>
    </row>
    <row r="228" spans="1:14" x14ac:dyDescent="0.3">
      <c r="A228" s="5" t="s">
        <v>82</v>
      </c>
      <c r="B228" s="6">
        <v>45717</v>
      </c>
      <c r="C228" s="5" t="s">
        <v>16</v>
      </c>
      <c r="D228" s="5" t="s">
        <v>32</v>
      </c>
      <c r="E228" s="5">
        <v>42932.02</v>
      </c>
      <c r="F228" s="5">
        <v>3872</v>
      </c>
      <c r="G228" s="5">
        <v>0.17100000000000001</v>
      </c>
      <c r="H228" s="5">
        <v>12</v>
      </c>
      <c r="I228" s="5">
        <v>83.2</v>
      </c>
      <c r="J228" s="5">
        <v>15.58</v>
      </c>
      <c r="K228" s="5">
        <v>0</v>
      </c>
      <c r="L228" s="5">
        <v>3.3</v>
      </c>
      <c r="M228" s="5">
        <v>527681.56000000006</v>
      </c>
      <c r="N228" s="5">
        <v>63153.05</v>
      </c>
    </row>
    <row r="229" spans="1:14" x14ac:dyDescent="0.3">
      <c r="A229" s="5" t="s">
        <v>82</v>
      </c>
      <c r="B229" s="6">
        <v>45748</v>
      </c>
      <c r="C229" s="5" t="s">
        <v>16</v>
      </c>
      <c r="D229" s="5" t="s">
        <v>32</v>
      </c>
      <c r="E229" s="5">
        <v>39341.449999999997</v>
      </c>
      <c r="F229" s="5">
        <v>1375</v>
      </c>
      <c r="G229" s="5">
        <v>9.2999999999999999E-2</v>
      </c>
      <c r="H229" s="5">
        <v>5</v>
      </c>
      <c r="I229" s="5">
        <v>95</v>
      </c>
      <c r="J229" s="5">
        <v>5.32</v>
      </c>
      <c r="K229" s="5">
        <v>0</v>
      </c>
      <c r="L229" s="5">
        <v>3.9246789999999998</v>
      </c>
      <c r="M229" s="5">
        <v>529598.93999999994</v>
      </c>
      <c r="N229" s="5">
        <v>84334.33</v>
      </c>
    </row>
    <row r="230" spans="1:14" x14ac:dyDescent="0.3">
      <c r="A230" s="5" t="s">
        <v>83</v>
      </c>
      <c r="B230" s="6">
        <v>45658</v>
      </c>
      <c r="C230" s="5" t="s">
        <v>16</v>
      </c>
      <c r="D230" s="5" t="s">
        <v>22</v>
      </c>
      <c r="E230" s="5">
        <v>37324.230000000003</v>
      </c>
      <c r="F230" s="5">
        <v>5957</v>
      </c>
      <c r="G230" s="5">
        <v>7.0999999999999994E-2</v>
      </c>
      <c r="H230" s="5">
        <v>12</v>
      </c>
      <c r="I230" s="5">
        <v>85.9</v>
      </c>
      <c r="J230" s="5">
        <v>0.37</v>
      </c>
      <c r="K230" s="5">
        <v>0</v>
      </c>
      <c r="L230" s="5">
        <v>3.8</v>
      </c>
      <c r="M230" s="5">
        <v>570963.31000000006</v>
      </c>
      <c r="N230" s="5">
        <v>87342.25</v>
      </c>
    </row>
    <row r="231" spans="1:14" x14ac:dyDescent="0.3">
      <c r="A231" s="5" t="s">
        <v>83</v>
      </c>
      <c r="B231" s="6">
        <v>45689</v>
      </c>
      <c r="C231" s="5" t="s">
        <v>16</v>
      </c>
      <c r="D231" s="5" t="s">
        <v>22</v>
      </c>
      <c r="E231" s="5">
        <v>113736</v>
      </c>
      <c r="F231" s="5">
        <v>8961</v>
      </c>
      <c r="G231" s="5">
        <v>0.20200000000000001</v>
      </c>
      <c r="H231" s="5">
        <v>24</v>
      </c>
      <c r="I231" s="5">
        <v>86.2</v>
      </c>
      <c r="J231" s="5">
        <v>21.63</v>
      </c>
      <c r="K231" s="5">
        <v>0</v>
      </c>
      <c r="L231" s="5">
        <v>4</v>
      </c>
      <c r="M231" s="5">
        <v>870937.4</v>
      </c>
      <c r="N231" s="5">
        <v>175282.74</v>
      </c>
    </row>
    <row r="232" spans="1:14" x14ac:dyDescent="0.3">
      <c r="A232" s="5" t="s">
        <v>83</v>
      </c>
      <c r="B232" s="6">
        <v>45717</v>
      </c>
      <c r="C232" s="5" t="s">
        <v>16</v>
      </c>
      <c r="D232" s="5" t="s">
        <v>22</v>
      </c>
      <c r="E232" s="5">
        <v>33173.949999999997</v>
      </c>
      <c r="F232" s="5">
        <v>6545</v>
      </c>
      <c r="G232" s="5">
        <v>0.16900000000000001</v>
      </c>
      <c r="H232" s="5">
        <v>15</v>
      </c>
      <c r="I232" s="5">
        <v>84.4</v>
      </c>
      <c r="J232" s="5">
        <v>2.48</v>
      </c>
      <c r="K232" s="5">
        <v>0</v>
      </c>
      <c r="L232" s="5">
        <v>3.9</v>
      </c>
      <c r="M232" s="5">
        <v>596969.27</v>
      </c>
      <c r="N232" s="5">
        <v>105669.51</v>
      </c>
    </row>
    <row r="233" spans="1:14" x14ac:dyDescent="0.3">
      <c r="A233" s="5" t="s">
        <v>83</v>
      </c>
      <c r="B233" s="6">
        <v>45748</v>
      </c>
      <c r="C233" s="5" t="s">
        <v>16</v>
      </c>
      <c r="D233" s="5" t="s">
        <v>22</v>
      </c>
      <c r="E233" s="5">
        <v>25818.080000000002</v>
      </c>
      <c r="F233" s="5">
        <v>5457</v>
      </c>
      <c r="G233" s="5">
        <v>0</v>
      </c>
      <c r="H233" s="5">
        <v>11</v>
      </c>
      <c r="I233" s="5">
        <v>95.4</v>
      </c>
      <c r="J233" s="5">
        <v>4.5590450000000002</v>
      </c>
      <c r="K233" s="5">
        <v>0</v>
      </c>
      <c r="L233" s="5">
        <v>3.7</v>
      </c>
      <c r="M233" s="5">
        <v>647512.85</v>
      </c>
      <c r="N233" s="5">
        <v>153835.57</v>
      </c>
    </row>
    <row r="234" spans="1:14" x14ac:dyDescent="0.3">
      <c r="A234" s="5" t="s">
        <v>84</v>
      </c>
      <c r="B234" s="6">
        <v>45658</v>
      </c>
      <c r="C234" s="5" t="s">
        <v>31</v>
      </c>
      <c r="D234" s="5" t="s">
        <v>17</v>
      </c>
      <c r="E234" s="5">
        <v>47241.919999999998</v>
      </c>
      <c r="F234" s="5">
        <v>4264</v>
      </c>
      <c r="G234" s="5">
        <v>6.9000000000000006E-2</v>
      </c>
      <c r="H234" s="5">
        <v>13</v>
      </c>
      <c r="I234" s="5">
        <v>95.3</v>
      </c>
      <c r="J234" s="5">
        <v>0.85</v>
      </c>
      <c r="K234" s="5">
        <v>0</v>
      </c>
      <c r="L234" s="5">
        <v>4.3</v>
      </c>
      <c r="M234" s="5">
        <v>658072.14</v>
      </c>
      <c r="N234" s="5">
        <v>110595.89</v>
      </c>
    </row>
    <row r="235" spans="1:14" x14ac:dyDescent="0.3">
      <c r="A235" s="5" t="s">
        <v>84</v>
      </c>
      <c r="B235" s="6">
        <v>45689</v>
      </c>
      <c r="C235" s="5" t="s">
        <v>31</v>
      </c>
      <c r="D235" s="5" t="s">
        <v>17</v>
      </c>
      <c r="E235" s="5">
        <v>61650.79</v>
      </c>
      <c r="F235" s="5">
        <v>5321</v>
      </c>
      <c r="G235" s="5">
        <v>0.126</v>
      </c>
      <c r="H235" s="5">
        <v>17</v>
      </c>
      <c r="I235" s="5">
        <v>89.2</v>
      </c>
      <c r="J235" s="5">
        <v>2.13</v>
      </c>
      <c r="K235" s="5">
        <v>0</v>
      </c>
      <c r="L235" s="5">
        <v>4</v>
      </c>
      <c r="M235" s="5">
        <v>723305.11</v>
      </c>
      <c r="N235" s="5">
        <v>128468.7</v>
      </c>
    </row>
    <row r="236" spans="1:14" x14ac:dyDescent="0.3">
      <c r="A236" s="5" t="s">
        <v>84</v>
      </c>
      <c r="B236" s="6">
        <v>45717</v>
      </c>
      <c r="C236" s="5" t="s">
        <v>31</v>
      </c>
      <c r="D236" s="5" t="s">
        <v>17</v>
      </c>
      <c r="E236" s="5">
        <v>62582.71</v>
      </c>
      <c r="F236" s="5">
        <v>5479</v>
      </c>
      <c r="G236" s="5">
        <v>4.8000000000000001E-2</v>
      </c>
      <c r="H236" s="5">
        <v>16</v>
      </c>
      <c r="I236" s="5">
        <v>81.2</v>
      </c>
      <c r="J236" s="5">
        <v>1.46</v>
      </c>
      <c r="K236" s="5">
        <v>0</v>
      </c>
      <c r="L236" s="5">
        <v>4.5</v>
      </c>
      <c r="M236" s="5">
        <v>640666.53</v>
      </c>
      <c r="N236" s="5">
        <v>134919.16</v>
      </c>
    </row>
    <row r="237" spans="1:14" x14ac:dyDescent="0.3">
      <c r="A237" s="5" t="s">
        <v>84</v>
      </c>
      <c r="B237" s="6">
        <v>45748</v>
      </c>
      <c r="C237" s="5" t="s">
        <v>31</v>
      </c>
      <c r="D237" s="5" t="s">
        <v>17</v>
      </c>
      <c r="E237" s="5">
        <v>47944.14</v>
      </c>
      <c r="F237" s="5">
        <v>6169</v>
      </c>
      <c r="G237" s="5">
        <v>0.11899999999999999</v>
      </c>
      <c r="H237" s="5">
        <v>17</v>
      </c>
      <c r="I237" s="5">
        <v>92.2</v>
      </c>
      <c r="J237" s="5">
        <v>3.02</v>
      </c>
      <c r="K237" s="5">
        <v>0</v>
      </c>
      <c r="L237" s="5">
        <v>4.0999999999999996</v>
      </c>
      <c r="M237" s="5">
        <v>670629.48</v>
      </c>
      <c r="N237" s="5">
        <v>100140.8</v>
      </c>
    </row>
    <row r="238" spans="1:14" x14ac:dyDescent="0.3">
      <c r="A238" s="5" t="s">
        <v>85</v>
      </c>
      <c r="B238" s="6">
        <v>45658</v>
      </c>
      <c r="C238" s="5" t="s">
        <v>31</v>
      </c>
      <c r="D238" s="5" t="s">
        <v>32</v>
      </c>
      <c r="E238" s="5">
        <v>46495.4</v>
      </c>
      <c r="F238" s="5">
        <v>9908</v>
      </c>
      <c r="G238" s="5">
        <v>0.121</v>
      </c>
      <c r="H238" s="5">
        <v>22</v>
      </c>
      <c r="I238" s="5">
        <v>89.4</v>
      </c>
      <c r="J238" s="5">
        <v>3.22</v>
      </c>
      <c r="K238" s="5">
        <v>0</v>
      </c>
      <c r="L238" s="5">
        <v>3.7</v>
      </c>
      <c r="M238" s="5">
        <v>721079.35</v>
      </c>
      <c r="N238" s="5">
        <v>115295.05</v>
      </c>
    </row>
    <row r="239" spans="1:14" x14ac:dyDescent="0.3">
      <c r="A239" s="5" t="s">
        <v>85</v>
      </c>
      <c r="B239" s="6">
        <v>45689</v>
      </c>
      <c r="C239" s="5" t="s">
        <v>31</v>
      </c>
      <c r="D239" s="5" t="s">
        <v>32</v>
      </c>
      <c r="E239" s="5">
        <v>72961.95</v>
      </c>
      <c r="F239" s="5">
        <v>9996</v>
      </c>
      <c r="G239" s="5">
        <v>0.106</v>
      </c>
      <c r="H239" s="5">
        <v>22</v>
      </c>
      <c r="I239" s="5">
        <v>89.1</v>
      </c>
      <c r="J239" s="5">
        <v>15.66</v>
      </c>
      <c r="K239" s="5">
        <v>0</v>
      </c>
      <c r="L239" s="5">
        <v>3.4</v>
      </c>
      <c r="M239" s="5">
        <v>810355.02</v>
      </c>
      <c r="N239" s="5">
        <v>131510</v>
      </c>
    </row>
    <row r="240" spans="1:14" x14ac:dyDescent="0.3">
      <c r="A240" s="5" t="s">
        <v>85</v>
      </c>
      <c r="B240" s="6">
        <v>45717</v>
      </c>
      <c r="C240" s="5" t="s">
        <v>31</v>
      </c>
      <c r="D240" s="5" t="s">
        <v>32</v>
      </c>
      <c r="E240" s="5">
        <v>59060.05</v>
      </c>
      <c r="F240" s="5">
        <v>9702</v>
      </c>
      <c r="G240" s="5">
        <v>0.20100000000000001</v>
      </c>
      <c r="H240" s="5">
        <v>23</v>
      </c>
      <c r="I240" s="5">
        <v>80.900000000000006</v>
      </c>
      <c r="J240" s="5">
        <v>6.96</v>
      </c>
      <c r="K240" s="5">
        <v>0</v>
      </c>
      <c r="L240" s="5">
        <v>3.2</v>
      </c>
      <c r="M240" s="5">
        <v>761919.25</v>
      </c>
      <c r="N240" s="5">
        <v>111893.06</v>
      </c>
    </row>
    <row r="241" spans="1:14" x14ac:dyDescent="0.3">
      <c r="A241" s="5" t="s">
        <v>85</v>
      </c>
      <c r="B241" s="6">
        <v>45748</v>
      </c>
      <c r="C241" s="5" t="s">
        <v>31</v>
      </c>
      <c r="D241" s="5" t="s">
        <v>32</v>
      </c>
      <c r="E241" s="5">
        <v>26248.1</v>
      </c>
      <c r="F241" s="5">
        <v>9314</v>
      </c>
      <c r="G241" s="5">
        <v>0.186</v>
      </c>
      <c r="H241" s="5">
        <v>21</v>
      </c>
      <c r="I241" s="5">
        <v>83.7</v>
      </c>
      <c r="J241" s="5">
        <v>4.62</v>
      </c>
      <c r="K241" s="5">
        <v>0</v>
      </c>
      <c r="L241" s="5">
        <v>3.3</v>
      </c>
      <c r="M241" s="5">
        <v>737070.18</v>
      </c>
      <c r="N241" s="5">
        <v>117593.97</v>
      </c>
    </row>
    <row r="242" spans="1:14" x14ac:dyDescent="0.3">
      <c r="A242" s="5" t="s">
        <v>86</v>
      </c>
      <c r="B242" s="6">
        <v>45658</v>
      </c>
      <c r="C242" s="5" t="s">
        <v>28</v>
      </c>
      <c r="D242" s="5" t="s">
        <v>25</v>
      </c>
      <c r="E242" s="5">
        <v>69900.12</v>
      </c>
      <c r="F242" s="5">
        <v>8055</v>
      </c>
      <c r="G242" s="5">
        <v>0.28100000000000003</v>
      </c>
      <c r="H242" s="5">
        <v>22</v>
      </c>
      <c r="I242" s="5">
        <v>85.6</v>
      </c>
      <c r="J242" s="5">
        <v>10.68</v>
      </c>
      <c r="K242" s="5">
        <v>1</v>
      </c>
      <c r="L242" s="5">
        <v>2.9</v>
      </c>
      <c r="M242" s="5">
        <v>776992.93</v>
      </c>
      <c r="N242" s="5">
        <v>101598.32</v>
      </c>
    </row>
    <row r="243" spans="1:14" x14ac:dyDescent="0.3">
      <c r="A243" s="5" t="s">
        <v>86</v>
      </c>
      <c r="B243" s="6">
        <v>45689</v>
      </c>
      <c r="C243" s="5" t="s">
        <v>28</v>
      </c>
      <c r="D243" s="5" t="s">
        <v>25</v>
      </c>
      <c r="E243" s="5">
        <v>51781.599999999999</v>
      </c>
      <c r="F243" s="5">
        <v>5648</v>
      </c>
      <c r="G243" s="5">
        <v>5.8999999999999997E-2</v>
      </c>
      <c r="H243" s="5">
        <v>13</v>
      </c>
      <c r="I243" s="5">
        <v>85.5</v>
      </c>
      <c r="J243" s="5">
        <v>4.04</v>
      </c>
      <c r="K243" s="5">
        <v>0</v>
      </c>
      <c r="L243" s="5">
        <v>3.7</v>
      </c>
      <c r="M243" s="5">
        <v>676337.41</v>
      </c>
      <c r="N243" s="5">
        <v>104355.77</v>
      </c>
    </row>
    <row r="244" spans="1:14" x14ac:dyDescent="0.3">
      <c r="A244" s="5" t="s">
        <v>86</v>
      </c>
      <c r="B244" s="6">
        <v>45717</v>
      </c>
      <c r="C244" s="5" t="s">
        <v>28</v>
      </c>
      <c r="D244" s="5" t="s">
        <v>25</v>
      </c>
      <c r="E244" s="5">
        <v>70799.64</v>
      </c>
      <c r="F244" s="5">
        <v>10076</v>
      </c>
      <c r="G244" s="5">
        <v>0.152</v>
      </c>
      <c r="H244" s="5">
        <v>24</v>
      </c>
      <c r="I244" s="5">
        <v>84.8</v>
      </c>
      <c r="J244" s="5">
        <v>1.87</v>
      </c>
      <c r="K244" s="5">
        <v>0</v>
      </c>
      <c r="L244" s="5">
        <v>3.5</v>
      </c>
      <c r="M244" s="5">
        <v>828219.67</v>
      </c>
      <c r="N244" s="5">
        <v>179806.87</v>
      </c>
    </row>
    <row r="245" spans="1:14" x14ac:dyDescent="0.3">
      <c r="A245" s="5" t="s">
        <v>86</v>
      </c>
      <c r="B245" s="6">
        <v>45748</v>
      </c>
      <c r="C245" s="5" t="s">
        <v>28</v>
      </c>
      <c r="D245" s="5" t="s">
        <v>25</v>
      </c>
      <c r="E245" s="5">
        <v>53546.34</v>
      </c>
      <c r="F245" s="5">
        <v>8004</v>
      </c>
      <c r="G245" s="5">
        <v>0</v>
      </c>
      <c r="H245" s="5">
        <v>21</v>
      </c>
      <c r="I245" s="5">
        <v>95.2</v>
      </c>
      <c r="J245" s="5">
        <v>2.83</v>
      </c>
      <c r="K245" s="5">
        <v>0</v>
      </c>
      <c r="L245" s="5">
        <v>3</v>
      </c>
      <c r="M245" s="5">
        <v>763159.92</v>
      </c>
      <c r="N245" s="5">
        <v>177104.87</v>
      </c>
    </row>
    <row r="246" spans="1:14" x14ac:dyDescent="0.3">
      <c r="A246" s="5" t="s">
        <v>87</v>
      </c>
      <c r="B246" s="6">
        <v>45658</v>
      </c>
      <c r="C246" s="5" t="s">
        <v>16</v>
      </c>
      <c r="D246" s="5" t="s">
        <v>22</v>
      </c>
      <c r="E246" s="5">
        <v>76942.2</v>
      </c>
      <c r="F246" s="5">
        <v>8934</v>
      </c>
      <c r="G246" s="5">
        <v>8.4000000000000005E-2</v>
      </c>
      <c r="H246" s="5">
        <v>20</v>
      </c>
      <c r="I246" s="5">
        <v>91</v>
      </c>
      <c r="J246" s="5">
        <v>0.95</v>
      </c>
      <c r="K246" s="5">
        <v>0</v>
      </c>
      <c r="L246" s="5">
        <v>3.2</v>
      </c>
      <c r="M246" s="5">
        <v>802001.68</v>
      </c>
      <c r="N246" s="5">
        <v>159715.82</v>
      </c>
    </row>
    <row r="247" spans="1:14" x14ac:dyDescent="0.3">
      <c r="A247" s="5" t="s">
        <v>87</v>
      </c>
      <c r="B247" s="6">
        <v>45689</v>
      </c>
      <c r="C247" s="5" t="s">
        <v>16</v>
      </c>
      <c r="D247" s="5" t="s">
        <v>22</v>
      </c>
      <c r="E247" s="5">
        <v>48060.78</v>
      </c>
      <c r="F247" s="5">
        <v>8733</v>
      </c>
      <c r="G247" s="5">
        <v>0</v>
      </c>
      <c r="H247" s="5">
        <v>20</v>
      </c>
      <c r="I247" s="5">
        <v>89.9</v>
      </c>
      <c r="J247" s="5">
        <v>0.8</v>
      </c>
      <c r="K247" s="5">
        <v>0</v>
      </c>
      <c r="L247" s="5">
        <v>3.4</v>
      </c>
      <c r="M247" s="5">
        <v>750471.34</v>
      </c>
      <c r="N247" s="5">
        <v>133788.04</v>
      </c>
    </row>
    <row r="248" spans="1:14" x14ac:dyDescent="0.3">
      <c r="A248" s="5" t="s">
        <v>87</v>
      </c>
      <c r="B248" s="6">
        <v>45717</v>
      </c>
      <c r="C248" s="5" t="s">
        <v>16</v>
      </c>
      <c r="D248" s="5" t="s">
        <v>22</v>
      </c>
      <c r="E248" s="5">
        <v>57390.04</v>
      </c>
      <c r="F248" s="5">
        <v>7374</v>
      </c>
      <c r="G248" s="5">
        <v>0.21</v>
      </c>
      <c r="H248" s="5">
        <v>21</v>
      </c>
      <c r="I248" s="5">
        <v>91.8</v>
      </c>
      <c r="J248" s="5">
        <v>0.2</v>
      </c>
      <c r="K248" s="5">
        <v>0</v>
      </c>
      <c r="L248" s="5">
        <v>3.1</v>
      </c>
      <c r="M248" s="5">
        <v>679230.86</v>
      </c>
      <c r="N248" s="5">
        <v>106927.58</v>
      </c>
    </row>
    <row r="249" spans="1:14" x14ac:dyDescent="0.3">
      <c r="A249" s="5" t="s">
        <v>87</v>
      </c>
      <c r="B249" s="6">
        <v>45748</v>
      </c>
      <c r="C249" s="5" t="s">
        <v>16</v>
      </c>
      <c r="D249" s="5" t="s">
        <v>22</v>
      </c>
      <c r="E249" s="5">
        <v>21536.18</v>
      </c>
      <c r="F249" s="5">
        <v>8119</v>
      </c>
      <c r="G249" s="5">
        <v>0.22700000000000001</v>
      </c>
      <c r="H249" s="5">
        <v>20</v>
      </c>
      <c r="I249" s="5">
        <v>90.4</v>
      </c>
      <c r="J249" s="5">
        <v>1.7</v>
      </c>
      <c r="K249" s="5">
        <v>0</v>
      </c>
      <c r="L249" s="5">
        <v>3.3</v>
      </c>
      <c r="M249" s="5">
        <v>679888.74</v>
      </c>
      <c r="N249" s="5">
        <v>83406.89</v>
      </c>
    </row>
    <row r="250" spans="1:14" x14ac:dyDescent="0.3">
      <c r="A250" s="5" t="s">
        <v>88</v>
      </c>
      <c r="B250" s="6">
        <v>45658</v>
      </c>
      <c r="C250" s="5" t="s">
        <v>24</v>
      </c>
      <c r="D250" s="5" t="s">
        <v>22</v>
      </c>
      <c r="E250" s="5">
        <v>40923.67</v>
      </c>
      <c r="F250" s="5">
        <v>3875</v>
      </c>
      <c r="G250" s="5">
        <v>0.15</v>
      </c>
      <c r="H250" s="5">
        <v>10</v>
      </c>
      <c r="I250" s="5">
        <v>96.1</v>
      </c>
      <c r="J250" s="5">
        <v>4.5590450000000002</v>
      </c>
      <c r="K250" s="5">
        <v>0</v>
      </c>
      <c r="L250" s="5">
        <v>3.8</v>
      </c>
      <c r="M250" s="5">
        <v>606783.67000000004</v>
      </c>
      <c r="N250" s="5">
        <v>74515.87</v>
      </c>
    </row>
    <row r="251" spans="1:14" x14ac:dyDescent="0.3">
      <c r="A251" s="5" t="s">
        <v>88</v>
      </c>
      <c r="B251" s="6">
        <v>45689</v>
      </c>
      <c r="C251" s="5" t="s">
        <v>24</v>
      </c>
      <c r="D251" s="5" t="s">
        <v>22</v>
      </c>
      <c r="E251" s="5">
        <v>72932.55</v>
      </c>
      <c r="F251" s="5">
        <v>5765</v>
      </c>
      <c r="G251" s="5">
        <v>2.5999999999999999E-2</v>
      </c>
      <c r="H251" s="5">
        <v>17</v>
      </c>
      <c r="I251" s="5">
        <v>81.8</v>
      </c>
      <c r="J251" s="5">
        <v>5.0999999999999996</v>
      </c>
      <c r="K251" s="5">
        <v>0</v>
      </c>
      <c r="L251" s="5">
        <v>3.6</v>
      </c>
      <c r="M251" s="5">
        <v>642751.42000000004</v>
      </c>
      <c r="N251" s="5">
        <v>131942.15</v>
      </c>
    </row>
    <row r="252" spans="1:14" x14ac:dyDescent="0.3">
      <c r="A252" s="5" t="s">
        <v>88</v>
      </c>
      <c r="B252" s="6">
        <v>45717</v>
      </c>
      <c r="C252" s="5" t="s">
        <v>24</v>
      </c>
      <c r="D252" s="5" t="s">
        <v>22</v>
      </c>
      <c r="E252" s="5">
        <v>38361.93</v>
      </c>
      <c r="F252" s="5">
        <v>6322</v>
      </c>
      <c r="G252" s="5">
        <v>0.27300000000000002</v>
      </c>
      <c r="H252" s="5">
        <v>15</v>
      </c>
      <c r="I252" s="5">
        <v>88.4</v>
      </c>
      <c r="J252" s="5">
        <v>0.83</v>
      </c>
      <c r="K252" s="5">
        <v>0</v>
      </c>
      <c r="L252" s="5">
        <v>4</v>
      </c>
      <c r="M252" s="5">
        <v>647953.78</v>
      </c>
      <c r="N252" s="5">
        <v>118497.43</v>
      </c>
    </row>
    <row r="253" spans="1:14" x14ac:dyDescent="0.3">
      <c r="A253" s="5" t="s">
        <v>88</v>
      </c>
      <c r="B253" s="6">
        <v>45748</v>
      </c>
      <c r="C253" s="5" t="s">
        <v>24</v>
      </c>
      <c r="D253" s="5" t="s">
        <v>22</v>
      </c>
      <c r="E253" s="5">
        <v>97480.94</v>
      </c>
      <c r="F253" s="5">
        <v>6840</v>
      </c>
      <c r="G253" s="5">
        <v>8.6999999999999994E-2</v>
      </c>
      <c r="H253" s="5">
        <v>14</v>
      </c>
      <c r="I253" s="5">
        <v>79.2</v>
      </c>
      <c r="J253" s="5">
        <v>1.1399999999999999</v>
      </c>
      <c r="K253" s="5">
        <v>0</v>
      </c>
      <c r="L253" s="5">
        <v>4</v>
      </c>
      <c r="M253" s="5">
        <v>729440.45</v>
      </c>
      <c r="N253" s="5">
        <v>87614.29</v>
      </c>
    </row>
    <row r="254" spans="1:14" x14ac:dyDescent="0.3">
      <c r="A254" s="5" t="s">
        <v>89</v>
      </c>
      <c r="B254" s="6">
        <v>45658</v>
      </c>
      <c r="C254" s="5" t="s">
        <v>28</v>
      </c>
      <c r="D254" s="5" t="s">
        <v>25</v>
      </c>
      <c r="E254" s="5">
        <v>81801.8</v>
      </c>
      <c r="F254" s="5">
        <v>6782</v>
      </c>
      <c r="G254" s="5">
        <v>0.05</v>
      </c>
      <c r="H254" s="5">
        <v>16</v>
      </c>
      <c r="I254" s="5">
        <v>99</v>
      </c>
      <c r="J254" s="5">
        <v>9.5399999999999991</v>
      </c>
      <c r="K254" s="5">
        <v>0</v>
      </c>
      <c r="L254" s="5">
        <v>3.7</v>
      </c>
      <c r="M254" s="5">
        <v>764949</v>
      </c>
      <c r="N254" s="5">
        <v>148322.43</v>
      </c>
    </row>
    <row r="255" spans="1:14" x14ac:dyDescent="0.3">
      <c r="A255" s="5" t="s">
        <v>89</v>
      </c>
      <c r="B255" s="6">
        <v>45689</v>
      </c>
      <c r="C255" s="5" t="s">
        <v>28</v>
      </c>
      <c r="D255" s="5" t="s">
        <v>25</v>
      </c>
      <c r="E255" s="5">
        <v>63582.11</v>
      </c>
      <c r="F255" s="5">
        <v>6856</v>
      </c>
      <c r="G255" s="5">
        <v>7.3999999999999996E-2</v>
      </c>
      <c r="H255" s="5">
        <v>17</v>
      </c>
      <c r="I255" s="5">
        <v>89.5</v>
      </c>
      <c r="J255" s="5">
        <v>5.48</v>
      </c>
      <c r="K255" s="5">
        <v>0</v>
      </c>
      <c r="L255" s="5">
        <v>3.2</v>
      </c>
      <c r="M255" s="5">
        <v>799046.94</v>
      </c>
      <c r="N255" s="5">
        <v>144553.64000000001</v>
      </c>
    </row>
    <row r="256" spans="1:14" x14ac:dyDescent="0.3">
      <c r="A256" s="5" t="s">
        <v>89</v>
      </c>
      <c r="B256" s="6">
        <v>45717</v>
      </c>
      <c r="C256" s="5" t="s">
        <v>28</v>
      </c>
      <c r="D256" s="5" t="s">
        <v>25</v>
      </c>
      <c r="E256" s="5">
        <v>75412.740000000005</v>
      </c>
      <c r="F256" s="5">
        <v>5641</v>
      </c>
      <c r="G256" s="5">
        <v>5.8999999999999997E-2</v>
      </c>
      <c r="H256" s="5">
        <v>13</v>
      </c>
      <c r="I256" s="5">
        <v>87.9</v>
      </c>
      <c r="J256" s="5">
        <v>0.84</v>
      </c>
      <c r="K256" s="5">
        <v>0</v>
      </c>
      <c r="L256" s="5">
        <v>3.6</v>
      </c>
      <c r="M256" s="5">
        <v>720079.54</v>
      </c>
      <c r="N256" s="5">
        <v>119499.47</v>
      </c>
    </row>
    <row r="257" spans="1:14" x14ac:dyDescent="0.3">
      <c r="A257" s="5" t="s">
        <v>89</v>
      </c>
      <c r="B257" s="6">
        <v>45748</v>
      </c>
      <c r="C257" s="5" t="s">
        <v>28</v>
      </c>
      <c r="D257" s="5" t="s">
        <v>25</v>
      </c>
      <c r="E257" s="5">
        <v>36290.080000000002</v>
      </c>
      <c r="F257" s="5">
        <v>5787</v>
      </c>
      <c r="G257" s="5">
        <v>0</v>
      </c>
      <c r="H257" s="5">
        <v>17</v>
      </c>
      <c r="I257" s="5">
        <v>88.3</v>
      </c>
      <c r="J257" s="5">
        <v>4.1900000000000004</v>
      </c>
      <c r="K257" s="5">
        <v>0</v>
      </c>
      <c r="L257" s="5">
        <v>4.0999999999999996</v>
      </c>
      <c r="M257" s="5">
        <v>612390.14</v>
      </c>
      <c r="N257" s="5">
        <v>108985.74</v>
      </c>
    </row>
    <row r="258" spans="1:14" x14ac:dyDescent="0.3">
      <c r="A258" s="5" t="s">
        <v>90</v>
      </c>
      <c r="B258" s="6">
        <v>45658</v>
      </c>
      <c r="C258" s="5" t="s">
        <v>28</v>
      </c>
      <c r="D258" s="5" t="s">
        <v>32</v>
      </c>
      <c r="E258" s="5">
        <v>65272.58</v>
      </c>
      <c r="F258" s="5">
        <v>8165</v>
      </c>
      <c r="G258" s="5">
        <v>5.0999999999999997E-2</v>
      </c>
      <c r="H258" s="5">
        <v>19</v>
      </c>
      <c r="I258" s="5">
        <v>87.8</v>
      </c>
      <c r="J258" s="5">
        <v>1.26</v>
      </c>
      <c r="K258" s="5">
        <v>1</v>
      </c>
      <c r="L258" s="5">
        <v>4.3</v>
      </c>
      <c r="M258" s="5">
        <v>840108.12</v>
      </c>
      <c r="N258" s="5">
        <v>126587.01</v>
      </c>
    </row>
    <row r="259" spans="1:14" x14ac:dyDescent="0.3">
      <c r="A259" s="5" t="s">
        <v>90</v>
      </c>
      <c r="B259" s="6">
        <v>45689</v>
      </c>
      <c r="C259" s="5" t="s">
        <v>28</v>
      </c>
      <c r="D259" s="5" t="s">
        <v>32</v>
      </c>
      <c r="E259" s="5">
        <v>28670.43</v>
      </c>
      <c r="F259" s="5">
        <v>7574</v>
      </c>
      <c r="G259" s="5">
        <v>0.114</v>
      </c>
      <c r="H259" s="5">
        <v>19</v>
      </c>
      <c r="I259" s="5">
        <v>82.7</v>
      </c>
      <c r="J259" s="5">
        <v>2.74</v>
      </c>
      <c r="K259" s="5">
        <v>0</v>
      </c>
      <c r="L259" s="5">
        <v>4.5999999999999996</v>
      </c>
      <c r="M259" s="5">
        <v>697888.09</v>
      </c>
      <c r="N259" s="5">
        <v>116249.87</v>
      </c>
    </row>
    <row r="260" spans="1:14" x14ac:dyDescent="0.3">
      <c r="A260" s="5" t="s">
        <v>90</v>
      </c>
      <c r="B260" s="6">
        <v>45717</v>
      </c>
      <c r="C260" s="5" t="s">
        <v>28</v>
      </c>
      <c r="D260" s="5" t="s">
        <v>32</v>
      </c>
      <c r="E260" s="5">
        <v>44189.34</v>
      </c>
      <c r="F260" s="5">
        <v>8634</v>
      </c>
      <c r="G260" s="5">
        <v>0.14299999999999999</v>
      </c>
      <c r="H260" s="5">
        <v>19</v>
      </c>
      <c r="I260" s="5">
        <v>87.5</v>
      </c>
      <c r="J260" s="5">
        <v>3.69</v>
      </c>
      <c r="K260" s="5">
        <v>0</v>
      </c>
      <c r="L260" s="5">
        <v>4.4000000000000004</v>
      </c>
      <c r="M260" s="5">
        <v>746115.59</v>
      </c>
      <c r="N260" s="5">
        <v>94662.96</v>
      </c>
    </row>
    <row r="261" spans="1:14" x14ac:dyDescent="0.3">
      <c r="A261" s="5" t="s">
        <v>90</v>
      </c>
      <c r="B261" s="6">
        <v>45748</v>
      </c>
      <c r="C261" s="5" t="s">
        <v>28</v>
      </c>
      <c r="D261" s="5" t="s">
        <v>32</v>
      </c>
      <c r="E261" s="5">
        <v>38397.82</v>
      </c>
      <c r="F261" s="5">
        <v>7836</v>
      </c>
      <c r="G261" s="5">
        <v>7.0000000000000001E-3</v>
      </c>
      <c r="H261" s="5">
        <v>21</v>
      </c>
      <c r="I261" s="5">
        <v>92.2</v>
      </c>
      <c r="J261" s="5">
        <v>1.82</v>
      </c>
      <c r="K261" s="5">
        <v>0</v>
      </c>
      <c r="L261" s="5">
        <v>3.6</v>
      </c>
      <c r="M261" s="5">
        <v>776110.32</v>
      </c>
      <c r="N261" s="5">
        <v>139676.21</v>
      </c>
    </row>
    <row r="262" spans="1:14" x14ac:dyDescent="0.3">
      <c r="A262" s="5" t="s">
        <v>91</v>
      </c>
      <c r="B262" s="6">
        <v>45658</v>
      </c>
      <c r="C262" s="5" t="s">
        <v>31</v>
      </c>
      <c r="D262" s="5" t="s">
        <v>22</v>
      </c>
      <c r="E262" s="5">
        <v>14519.37</v>
      </c>
      <c r="F262" s="5">
        <v>3047</v>
      </c>
      <c r="G262" s="5">
        <v>0.13500000000000001</v>
      </c>
      <c r="H262" s="5">
        <v>10</v>
      </c>
      <c r="I262" s="5">
        <v>90.3</v>
      </c>
      <c r="J262" s="5">
        <v>6.62</v>
      </c>
      <c r="K262" s="5">
        <v>0</v>
      </c>
      <c r="L262" s="5">
        <v>4.2</v>
      </c>
      <c r="M262" s="5">
        <v>528852.62</v>
      </c>
      <c r="N262" s="5">
        <v>68426.210000000006</v>
      </c>
    </row>
    <row r="263" spans="1:14" x14ac:dyDescent="0.3">
      <c r="A263" s="5" t="s">
        <v>91</v>
      </c>
      <c r="B263" s="6">
        <v>45689</v>
      </c>
      <c r="C263" s="5" t="s">
        <v>31</v>
      </c>
      <c r="D263" s="5" t="s">
        <v>22</v>
      </c>
      <c r="E263" s="5">
        <v>43288.2</v>
      </c>
      <c r="F263" s="5">
        <v>4783</v>
      </c>
      <c r="G263" s="5">
        <v>0.16900000000000001</v>
      </c>
      <c r="H263" s="5">
        <v>13</v>
      </c>
      <c r="I263" s="5">
        <v>87.3</v>
      </c>
      <c r="J263" s="5">
        <v>4.5590450000000002</v>
      </c>
      <c r="K263" s="5">
        <v>0</v>
      </c>
      <c r="L263" s="5">
        <v>4.2</v>
      </c>
      <c r="M263" s="5">
        <v>605751.32999999996</v>
      </c>
      <c r="N263" s="5">
        <v>60685.53</v>
      </c>
    </row>
    <row r="264" spans="1:14" x14ac:dyDescent="0.3">
      <c r="A264" s="5" t="s">
        <v>91</v>
      </c>
      <c r="B264" s="6">
        <v>45717</v>
      </c>
      <c r="C264" s="5" t="s">
        <v>31</v>
      </c>
      <c r="D264" s="5" t="s">
        <v>22</v>
      </c>
      <c r="E264" s="5">
        <v>51450.55</v>
      </c>
      <c r="F264" s="5">
        <v>4902</v>
      </c>
      <c r="G264" s="5">
        <v>8.5999999999999993E-2</v>
      </c>
      <c r="H264" s="5">
        <v>11</v>
      </c>
      <c r="I264" s="5">
        <v>83.7</v>
      </c>
      <c r="J264" s="5">
        <v>6.92</v>
      </c>
      <c r="K264" s="5">
        <v>1</v>
      </c>
      <c r="L264" s="5">
        <v>4.2</v>
      </c>
      <c r="M264" s="5">
        <v>677640.65</v>
      </c>
      <c r="N264" s="5">
        <v>111610.89</v>
      </c>
    </row>
    <row r="265" spans="1:14" x14ac:dyDescent="0.3">
      <c r="A265" s="5" t="s">
        <v>91</v>
      </c>
      <c r="B265" s="6">
        <v>45748</v>
      </c>
      <c r="C265" s="5" t="s">
        <v>31</v>
      </c>
      <c r="D265" s="5" t="s">
        <v>22</v>
      </c>
      <c r="E265" s="5">
        <v>58688.26</v>
      </c>
      <c r="F265" s="5">
        <v>4022</v>
      </c>
      <c r="G265" s="5">
        <v>0.217</v>
      </c>
      <c r="H265" s="5">
        <v>12</v>
      </c>
      <c r="I265" s="5">
        <v>93.8</v>
      </c>
      <c r="J265" s="5">
        <v>11.78</v>
      </c>
      <c r="K265" s="5">
        <v>0</v>
      </c>
      <c r="L265" s="5">
        <v>3.7</v>
      </c>
      <c r="M265" s="5">
        <v>636613.23</v>
      </c>
      <c r="N265" s="5">
        <v>78908.350000000006</v>
      </c>
    </row>
    <row r="266" spans="1:14" x14ac:dyDescent="0.3">
      <c r="A266" s="5" t="s">
        <v>92</v>
      </c>
      <c r="B266" s="6">
        <v>45658</v>
      </c>
      <c r="C266" s="5" t="s">
        <v>16</v>
      </c>
      <c r="D266" s="5" t="s">
        <v>22</v>
      </c>
      <c r="E266" s="5">
        <v>58981.91</v>
      </c>
      <c r="F266" s="5">
        <v>7324</v>
      </c>
      <c r="G266" s="5">
        <v>9.4E-2</v>
      </c>
      <c r="H266" s="5">
        <v>15</v>
      </c>
      <c r="I266" s="5">
        <v>95.8</v>
      </c>
      <c r="J266" s="5">
        <v>0.5</v>
      </c>
      <c r="K266" s="5">
        <v>0</v>
      </c>
      <c r="L266" s="5">
        <v>3.5</v>
      </c>
      <c r="M266" s="5">
        <v>708985.19</v>
      </c>
      <c r="N266" s="5">
        <v>125368.16</v>
      </c>
    </row>
    <row r="267" spans="1:14" x14ac:dyDescent="0.3">
      <c r="A267" s="5" t="s">
        <v>92</v>
      </c>
      <c r="B267" s="6">
        <v>45689</v>
      </c>
      <c r="C267" s="5" t="s">
        <v>16</v>
      </c>
      <c r="D267" s="5" t="s">
        <v>22</v>
      </c>
      <c r="E267" s="5">
        <v>73454.539999999994</v>
      </c>
      <c r="F267" s="5">
        <v>8129</v>
      </c>
      <c r="G267" s="5">
        <v>0.21099999999999999</v>
      </c>
      <c r="H267" s="5">
        <v>20</v>
      </c>
      <c r="I267" s="5">
        <v>85.2</v>
      </c>
      <c r="J267" s="5">
        <v>0.88</v>
      </c>
      <c r="K267" s="5">
        <v>0</v>
      </c>
      <c r="L267" s="5">
        <v>3.7</v>
      </c>
      <c r="M267" s="5">
        <v>767792.94</v>
      </c>
      <c r="N267" s="5">
        <v>96235.77</v>
      </c>
    </row>
    <row r="268" spans="1:14" x14ac:dyDescent="0.3">
      <c r="A268" s="5" t="s">
        <v>92</v>
      </c>
      <c r="B268" s="6">
        <v>45717</v>
      </c>
      <c r="C268" s="5" t="s">
        <v>16</v>
      </c>
      <c r="D268" s="5" t="s">
        <v>22</v>
      </c>
      <c r="E268" s="5">
        <v>56602.39</v>
      </c>
      <c r="F268" s="5">
        <v>7969</v>
      </c>
      <c r="G268" s="5">
        <v>0.17</v>
      </c>
      <c r="H268" s="5">
        <v>21</v>
      </c>
      <c r="I268" s="5">
        <v>88.3</v>
      </c>
      <c r="J268" s="5">
        <v>2.25</v>
      </c>
      <c r="K268" s="5">
        <v>0</v>
      </c>
      <c r="L268" s="5">
        <v>3.7</v>
      </c>
      <c r="M268" s="5">
        <v>745580.51</v>
      </c>
      <c r="N268" s="5">
        <v>116273.68</v>
      </c>
    </row>
    <row r="269" spans="1:14" x14ac:dyDescent="0.3">
      <c r="A269" s="5" t="s">
        <v>92</v>
      </c>
      <c r="B269" s="6">
        <v>45748</v>
      </c>
      <c r="C269" s="5" t="s">
        <v>16</v>
      </c>
      <c r="D269" s="5" t="s">
        <v>22</v>
      </c>
      <c r="E269" s="5">
        <v>67722.289999999994</v>
      </c>
      <c r="F269" s="5">
        <v>7240</v>
      </c>
      <c r="G269" s="5">
        <v>2.5999999999999999E-2</v>
      </c>
      <c r="H269" s="5">
        <v>15</v>
      </c>
      <c r="I269" s="5">
        <v>92.9</v>
      </c>
      <c r="J269" s="5">
        <v>0.28999999999999998</v>
      </c>
      <c r="K269" s="5">
        <v>0</v>
      </c>
      <c r="L269" s="5">
        <v>3.5</v>
      </c>
      <c r="M269" s="5">
        <v>762328.31</v>
      </c>
      <c r="N269" s="5">
        <v>159158.19</v>
      </c>
    </row>
    <row r="270" spans="1:14" x14ac:dyDescent="0.3">
      <c r="A270" s="5" t="s">
        <v>93</v>
      </c>
      <c r="B270" s="6">
        <v>45658</v>
      </c>
      <c r="C270" s="5" t="s">
        <v>16</v>
      </c>
      <c r="D270" s="5" t="s">
        <v>32</v>
      </c>
      <c r="E270" s="5">
        <v>48752.92</v>
      </c>
      <c r="F270" s="5">
        <v>8052</v>
      </c>
      <c r="G270" s="5">
        <v>0.106</v>
      </c>
      <c r="H270" s="5">
        <v>16</v>
      </c>
      <c r="I270" s="5">
        <v>94.9</v>
      </c>
      <c r="J270" s="5">
        <v>0.65</v>
      </c>
      <c r="K270" s="5">
        <v>0</v>
      </c>
      <c r="L270" s="5">
        <v>3.6</v>
      </c>
      <c r="M270" s="5">
        <v>660633.99</v>
      </c>
      <c r="N270" s="5">
        <v>118768.66</v>
      </c>
    </row>
    <row r="271" spans="1:14" x14ac:dyDescent="0.3">
      <c r="A271" s="5" t="s">
        <v>93</v>
      </c>
      <c r="B271" s="6">
        <v>45689</v>
      </c>
      <c r="C271" s="5" t="s">
        <v>16</v>
      </c>
      <c r="D271" s="5" t="s">
        <v>32</v>
      </c>
      <c r="E271" s="5">
        <v>23914.97</v>
      </c>
      <c r="F271" s="5">
        <v>8018</v>
      </c>
      <c r="G271" s="5">
        <v>0.13900000000000001</v>
      </c>
      <c r="H271" s="5">
        <v>20</v>
      </c>
      <c r="I271" s="5">
        <v>89</v>
      </c>
      <c r="J271" s="5">
        <v>0.2</v>
      </c>
      <c r="K271" s="5">
        <v>0</v>
      </c>
      <c r="L271" s="5">
        <v>3.5</v>
      </c>
      <c r="M271" s="5">
        <v>739374.56</v>
      </c>
      <c r="N271" s="5">
        <v>121032.29</v>
      </c>
    </row>
    <row r="272" spans="1:14" x14ac:dyDescent="0.3">
      <c r="A272" s="5" t="s">
        <v>93</v>
      </c>
      <c r="B272" s="6">
        <v>45717</v>
      </c>
      <c r="C272" s="5" t="s">
        <v>16</v>
      </c>
      <c r="D272" s="5" t="s">
        <v>32</v>
      </c>
      <c r="E272" s="5">
        <v>61995.3</v>
      </c>
      <c r="F272" s="5">
        <v>10192</v>
      </c>
      <c r="G272" s="5">
        <v>0.19800000000000001</v>
      </c>
      <c r="H272" s="5">
        <v>21</v>
      </c>
      <c r="I272" s="5">
        <v>87.6</v>
      </c>
      <c r="J272" s="5">
        <v>3.63</v>
      </c>
      <c r="K272" s="5">
        <v>1</v>
      </c>
      <c r="L272" s="5">
        <v>3.8</v>
      </c>
      <c r="M272" s="5">
        <v>799756.46</v>
      </c>
      <c r="N272" s="5">
        <v>105052.93</v>
      </c>
    </row>
    <row r="273" spans="1:14" x14ac:dyDescent="0.3">
      <c r="A273" s="5" t="s">
        <v>93</v>
      </c>
      <c r="B273" s="6">
        <v>45748</v>
      </c>
      <c r="C273" s="5" t="s">
        <v>16</v>
      </c>
      <c r="D273" s="5" t="s">
        <v>32</v>
      </c>
      <c r="E273" s="5">
        <v>29344.93</v>
      </c>
      <c r="F273" s="5">
        <v>7446</v>
      </c>
      <c r="G273" s="5">
        <v>0.111</v>
      </c>
      <c r="H273" s="5">
        <v>15</v>
      </c>
      <c r="I273" s="5">
        <v>86.2</v>
      </c>
      <c r="J273" s="5">
        <v>0.2</v>
      </c>
      <c r="K273" s="5">
        <v>0</v>
      </c>
      <c r="L273" s="5">
        <v>3.2</v>
      </c>
      <c r="M273" s="5">
        <v>593343</v>
      </c>
      <c r="N273" s="5">
        <v>82832.240000000005</v>
      </c>
    </row>
    <row r="274" spans="1:14" x14ac:dyDescent="0.3">
      <c r="A274" s="5" t="s">
        <v>94</v>
      </c>
      <c r="B274" s="6">
        <v>45658</v>
      </c>
      <c r="C274" s="5" t="s">
        <v>31</v>
      </c>
      <c r="D274" s="5" t="s">
        <v>22</v>
      </c>
      <c r="E274" s="5">
        <v>50532.17</v>
      </c>
      <c r="F274" s="5">
        <v>5689</v>
      </c>
      <c r="G274" s="5">
        <v>5.1999999999999998E-2</v>
      </c>
      <c r="H274" s="5">
        <v>17</v>
      </c>
      <c r="I274" s="5">
        <v>85.6</v>
      </c>
      <c r="J274" s="5">
        <v>6.23</v>
      </c>
      <c r="K274" s="5">
        <v>0</v>
      </c>
      <c r="L274" s="5">
        <v>3.3</v>
      </c>
      <c r="M274" s="5">
        <v>645039.97</v>
      </c>
      <c r="N274" s="5">
        <v>83093.33</v>
      </c>
    </row>
    <row r="275" spans="1:14" x14ac:dyDescent="0.3">
      <c r="A275" s="5" t="s">
        <v>94</v>
      </c>
      <c r="B275" s="6">
        <v>45689</v>
      </c>
      <c r="C275" s="5" t="s">
        <v>31</v>
      </c>
      <c r="D275" s="5" t="s">
        <v>22</v>
      </c>
      <c r="E275" s="5">
        <v>17562.57</v>
      </c>
      <c r="F275" s="5">
        <v>3326</v>
      </c>
      <c r="G275" s="5">
        <v>0.153</v>
      </c>
      <c r="H275" s="5">
        <v>14</v>
      </c>
      <c r="I275" s="5">
        <v>88.1</v>
      </c>
      <c r="J275" s="5">
        <v>1.04</v>
      </c>
      <c r="K275" s="5">
        <v>0</v>
      </c>
      <c r="L275" s="5">
        <v>3.1</v>
      </c>
      <c r="M275" s="5">
        <v>561597.32999999996</v>
      </c>
      <c r="N275" s="5">
        <v>75072.75</v>
      </c>
    </row>
    <row r="276" spans="1:14" x14ac:dyDescent="0.3">
      <c r="A276" s="5" t="s">
        <v>94</v>
      </c>
      <c r="B276" s="6">
        <v>45717</v>
      </c>
      <c r="C276" s="5" t="s">
        <v>31</v>
      </c>
      <c r="D276" s="5" t="s">
        <v>22</v>
      </c>
      <c r="E276" s="5">
        <v>47648.71</v>
      </c>
      <c r="F276" s="5">
        <v>5767</v>
      </c>
      <c r="G276" s="5">
        <v>0.14099999999999999</v>
      </c>
      <c r="H276" s="5">
        <v>17</v>
      </c>
      <c r="I276" s="5">
        <v>89.8</v>
      </c>
      <c r="J276" s="5">
        <v>1.76</v>
      </c>
      <c r="K276" s="5">
        <v>0</v>
      </c>
      <c r="L276" s="5">
        <v>3.1</v>
      </c>
      <c r="M276" s="5">
        <v>635837.74</v>
      </c>
      <c r="N276" s="5">
        <v>114740.64</v>
      </c>
    </row>
    <row r="277" spans="1:14" x14ac:dyDescent="0.3">
      <c r="A277" s="5" t="s">
        <v>94</v>
      </c>
      <c r="B277" s="6">
        <v>45748</v>
      </c>
      <c r="C277" s="5" t="s">
        <v>31</v>
      </c>
      <c r="D277" s="5" t="s">
        <v>22</v>
      </c>
      <c r="E277" s="5">
        <v>38297.58</v>
      </c>
      <c r="F277" s="5">
        <v>5893</v>
      </c>
      <c r="G277" s="5">
        <v>0.247</v>
      </c>
      <c r="H277" s="5">
        <v>18</v>
      </c>
      <c r="I277" s="5">
        <v>77.599999999999994</v>
      </c>
      <c r="J277" s="5">
        <v>2.86</v>
      </c>
      <c r="K277" s="5">
        <v>0</v>
      </c>
      <c r="L277" s="5">
        <v>3</v>
      </c>
      <c r="M277" s="5">
        <v>686737.87</v>
      </c>
      <c r="N277" s="5">
        <v>83839.67</v>
      </c>
    </row>
    <row r="278" spans="1:14" x14ac:dyDescent="0.3">
      <c r="A278" s="5" t="s">
        <v>95</v>
      </c>
      <c r="B278" s="6">
        <v>45658</v>
      </c>
      <c r="C278" s="5" t="s">
        <v>28</v>
      </c>
      <c r="D278" s="5" t="s">
        <v>17</v>
      </c>
      <c r="E278" s="5">
        <v>61784.11</v>
      </c>
      <c r="F278" s="5">
        <v>8564</v>
      </c>
      <c r="G278" s="5">
        <v>0.13</v>
      </c>
      <c r="H278" s="5">
        <v>17</v>
      </c>
      <c r="I278" s="5">
        <v>87.4</v>
      </c>
      <c r="J278" s="5">
        <v>18.14</v>
      </c>
      <c r="K278" s="5">
        <v>1</v>
      </c>
      <c r="L278" s="5">
        <v>3.4</v>
      </c>
      <c r="M278" s="5">
        <v>673076.34</v>
      </c>
      <c r="N278" s="5">
        <v>93899.76</v>
      </c>
    </row>
    <row r="279" spans="1:14" x14ac:dyDescent="0.3">
      <c r="A279" s="5" t="s">
        <v>95</v>
      </c>
      <c r="B279" s="6">
        <v>45689</v>
      </c>
      <c r="C279" s="5" t="s">
        <v>28</v>
      </c>
      <c r="D279" s="5" t="s">
        <v>17</v>
      </c>
      <c r="E279" s="5">
        <v>36832.33</v>
      </c>
      <c r="F279" s="5">
        <v>8001</v>
      </c>
      <c r="G279" s="5">
        <v>0</v>
      </c>
      <c r="H279" s="5">
        <v>19</v>
      </c>
      <c r="I279" s="5">
        <v>88.7</v>
      </c>
      <c r="J279" s="5">
        <v>3.39</v>
      </c>
      <c r="K279" s="5">
        <v>0</v>
      </c>
      <c r="L279" s="5">
        <v>4</v>
      </c>
      <c r="M279" s="5">
        <v>738548.42</v>
      </c>
      <c r="N279" s="5">
        <v>134282.76999999999</v>
      </c>
    </row>
    <row r="280" spans="1:14" x14ac:dyDescent="0.3">
      <c r="A280" s="5" t="s">
        <v>95</v>
      </c>
      <c r="B280" s="6">
        <v>45717</v>
      </c>
      <c r="C280" s="5" t="s">
        <v>28</v>
      </c>
      <c r="D280" s="5" t="s">
        <v>17</v>
      </c>
      <c r="E280" s="5">
        <v>48609.41</v>
      </c>
      <c r="F280" s="5">
        <v>9324</v>
      </c>
      <c r="G280" s="5">
        <v>0.21299999999999999</v>
      </c>
      <c r="H280" s="5">
        <v>18</v>
      </c>
      <c r="I280" s="5">
        <v>86.5</v>
      </c>
      <c r="J280" s="5">
        <v>1.44</v>
      </c>
      <c r="K280" s="5">
        <v>0</v>
      </c>
      <c r="L280" s="5">
        <v>3.9</v>
      </c>
      <c r="M280" s="5">
        <v>756619.77</v>
      </c>
      <c r="N280" s="5">
        <v>112057.69</v>
      </c>
    </row>
    <row r="281" spans="1:14" x14ac:dyDescent="0.3">
      <c r="A281" s="5" t="s">
        <v>95</v>
      </c>
      <c r="B281" s="6">
        <v>45748</v>
      </c>
      <c r="C281" s="5" t="s">
        <v>28</v>
      </c>
      <c r="D281" s="5" t="s">
        <v>17</v>
      </c>
      <c r="E281" s="5">
        <v>70284.06</v>
      </c>
      <c r="F281" s="5">
        <v>9109</v>
      </c>
      <c r="G281" s="5">
        <v>4.0000000000000001E-3</v>
      </c>
      <c r="H281" s="5">
        <v>23</v>
      </c>
      <c r="I281" s="5">
        <v>87</v>
      </c>
      <c r="J281" s="5">
        <v>3.65</v>
      </c>
      <c r="K281" s="5">
        <v>0</v>
      </c>
      <c r="L281" s="5">
        <v>3.7</v>
      </c>
      <c r="M281" s="5">
        <v>761122.42</v>
      </c>
      <c r="N281" s="5">
        <v>149802.04</v>
      </c>
    </row>
    <row r="282" spans="1:14" x14ac:dyDescent="0.3">
      <c r="A282" s="5" t="s">
        <v>96</v>
      </c>
      <c r="B282" s="6">
        <v>45658</v>
      </c>
      <c r="C282" s="5" t="s">
        <v>28</v>
      </c>
      <c r="D282" s="5" t="s">
        <v>22</v>
      </c>
      <c r="E282" s="5">
        <v>45940.39</v>
      </c>
      <c r="F282" s="5">
        <v>4022</v>
      </c>
      <c r="G282" s="5">
        <v>6.9000000000000006E-2</v>
      </c>
      <c r="H282" s="5">
        <v>10</v>
      </c>
      <c r="I282" s="5">
        <v>83</v>
      </c>
      <c r="J282" s="5">
        <v>1.23</v>
      </c>
      <c r="K282" s="5">
        <v>1</v>
      </c>
      <c r="L282" s="5">
        <v>3.8</v>
      </c>
      <c r="M282" s="5">
        <v>524899.56999999995</v>
      </c>
      <c r="N282" s="5">
        <v>63619.98</v>
      </c>
    </row>
    <row r="283" spans="1:14" x14ac:dyDescent="0.3">
      <c r="A283" s="5" t="s">
        <v>96</v>
      </c>
      <c r="B283" s="6">
        <v>45689</v>
      </c>
      <c r="C283" s="5" t="s">
        <v>28</v>
      </c>
      <c r="D283" s="5" t="s">
        <v>22</v>
      </c>
      <c r="E283" s="5">
        <v>34771.26</v>
      </c>
      <c r="F283" s="5">
        <v>4355</v>
      </c>
      <c r="G283" s="5">
        <v>5.0999999999999997E-2</v>
      </c>
      <c r="H283" s="5">
        <v>15</v>
      </c>
      <c r="I283" s="5">
        <v>87.9</v>
      </c>
      <c r="J283" s="5">
        <v>3.09</v>
      </c>
      <c r="K283" s="5">
        <v>0</v>
      </c>
      <c r="L283" s="5">
        <v>4</v>
      </c>
      <c r="M283" s="5">
        <v>555557.77</v>
      </c>
      <c r="N283" s="5">
        <v>86475.51</v>
      </c>
    </row>
    <row r="284" spans="1:14" x14ac:dyDescent="0.3">
      <c r="A284" s="5" t="s">
        <v>96</v>
      </c>
      <c r="B284" s="6">
        <v>45717</v>
      </c>
      <c r="C284" s="5" t="s">
        <v>28</v>
      </c>
      <c r="D284" s="5" t="s">
        <v>22</v>
      </c>
      <c r="E284" s="5">
        <v>66104.19</v>
      </c>
      <c r="F284" s="5">
        <v>5745</v>
      </c>
      <c r="G284" s="5">
        <v>7.0000000000000007E-2</v>
      </c>
      <c r="H284" s="5">
        <v>17</v>
      </c>
      <c r="I284" s="5">
        <v>95.8</v>
      </c>
      <c r="J284" s="5">
        <v>3.15</v>
      </c>
      <c r="K284" s="5">
        <v>0</v>
      </c>
      <c r="L284" s="5">
        <v>4</v>
      </c>
      <c r="M284" s="5">
        <v>714083.68</v>
      </c>
      <c r="N284" s="5">
        <v>127231.74</v>
      </c>
    </row>
    <row r="285" spans="1:14" x14ac:dyDescent="0.3">
      <c r="A285" s="5" t="s">
        <v>96</v>
      </c>
      <c r="B285" s="6">
        <v>45748</v>
      </c>
      <c r="C285" s="5" t="s">
        <v>28</v>
      </c>
      <c r="D285" s="5" t="s">
        <v>22</v>
      </c>
      <c r="E285" s="5">
        <v>18599.21</v>
      </c>
      <c r="F285" s="5">
        <v>3027</v>
      </c>
      <c r="G285" s="5">
        <v>0.122</v>
      </c>
      <c r="H285" s="5">
        <v>11</v>
      </c>
      <c r="I285" s="5">
        <v>80.900000000000006</v>
      </c>
      <c r="J285" s="5">
        <v>6.44</v>
      </c>
      <c r="K285" s="5">
        <v>0</v>
      </c>
      <c r="L285" s="5">
        <v>4.2</v>
      </c>
      <c r="M285" s="5">
        <v>497439.82</v>
      </c>
      <c r="N285" s="5">
        <v>93372.75</v>
      </c>
    </row>
    <row r="286" spans="1:14" x14ac:dyDescent="0.3">
      <c r="A286" s="5" t="s">
        <v>97</v>
      </c>
      <c r="B286" s="6">
        <v>45658</v>
      </c>
      <c r="C286" s="5" t="s">
        <v>31</v>
      </c>
      <c r="D286" s="5" t="s">
        <v>17</v>
      </c>
      <c r="E286" s="5">
        <v>60183.06</v>
      </c>
      <c r="F286" s="5">
        <v>5562</v>
      </c>
      <c r="G286" s="5">
        <v>8.9999999999999993E-3</v>
      </c>
      <c r="H286" s="5">
        <v>13</v>
      </c>
      <c r="I286" s="5">
        <v>86.3</v>
      </c>
      <c r="J286" s="5">
        <v>0.2</v>
      </c>
      <c r="K286" s="5">
        <v>1</v>
      </c>
      <c r="L286" s="5">
        <v>4.5</v>
      </c>
      <c r="M286" s="5">
        <v>636775.66</v>
      </c>
      <c r="N286" s="5">
        <v>122636.86</v>
      </c>
    </row>
    <row r="287" spans="1:14" x14ac:dyDescent="0.3">
      <c r="A287" s="5" t="s">
        <v>97</v>
      </c>
      <c r="B287" s="6">
        <v>45689</v>
      </c>
      <c r="C287" s="5" t="s">
        <v>31</v>
      </c>
      <c r="D287" s="5" t="s">
        <v>17</v>
      </c>
      <c r="E287" s="5">
        <v>74539.14</v>
      </c>
      <c r="F287" s="5">
        <v>4487</v>
      </c>
      <c r="G287" s="5">
        <v>0.14000000000000001</v>
      </c>
      <c r="H287" s="5">
        <v>10</v>
      </c>
      <c r="I287" s="5">
        <v>90.4</v>
      </c>
      <c r="J287" s="5">
        <v>0.59</v>
      </c>
      <c r="K287" s="5">
        <v>0</v>
      </c>
      <c r="L287" s="5">
        <v>4.5</v>
      </c>
      <c r="M287" s="5">
        <v>633009.53</v>
      </c>
      <c r="N287" s="5">
        <v>123782.67</v>
      </c>
    </row>
    <row r="288" spans="1:14" x14ac:dyDescent="0.3">
      <c r="A288" s="5" t="s">
        <v>97</v>
      </c>
      <c r="B288" s="6">
        <v>45717</v>
      </c>
      <c r="C288" s="5" t="s">
        <v>31</v>
      </c>
      <c r="D288" s="5" t="s">
        <v>17</v>
      </c>
      <c r="E288" s="5">
        <v>55371.97</v>
      </c>
      <c r="F288" s="5">
        <v>4162</v>
      </c>
      <c r="G288" s="5">
        <v>0.183</v>
      </c>
      <c r="H288" s="5">
        <v>11</v>
      </c>
      <c r="I288" s="5">
        <v>92</v>
      </c>
      <c r="J288" s="5">
        <v>0.2</v>
      </c>
      <c r="K288" s="5">
        <v>1</v>
      </c>
      <c r="L288" s="5">
        <v>4.2</v>
      </c>
      <c r="M288" s="5">
        <v>609949</v>
      </c>
      <c r="N288" s="5">
        <v>126789.25</v>
      </c>
    </row>
    <row r="289" spans="1:14" x14ac:dyDescent="0.3">
      <c r="A289" s="5" t="s">
        <v>97</v>
      </c>
      <c r="B289" s="6">
        <v>45748</v>
      </c>
      <c r="C289" s="5" t="s">
        <v>31</v>
      </c>
      <c r="D289" s="5" t="s">
        <v>17</v>
      </c>
      <c r="E289" s="5">
        <v>40928.69</v>
      </c>
      <c r="F289" s="5">
        <v>4094</v>
      </c>
      <c r="G289" s="5">
        <v>0.17399999999999999</v>
      </c>
      <c r="H289" s="5">
        <v>13</v>
      </c>
      <c r="I289" s="5">
        <v>82.4</v>
      </c>
      <c r="J289" s="5">
        <v>1.36</v>
      </c>
      <c r="K289" s="5">
        <v>0</v>
      </c>
      <c r="L289" s="5">
        <v>4.8</v>
      </c>
      <c r="M289" s="5">
        <v>548103.69999999995</v>
      </c>
      <c r="N289" s="5">
        <v>99905.52</v>
      </c>
    </row>
    <row r="290" spans="1:14" x14ac:dyDescent="0.3">
      <c r="A290" s="5" t="s">
        <v>98</v>
      </c>
      <c r="B290" s="6">
        <v>45658</v>
      </c>
      <c r="C290" s="5" t="s">
        <v>16</v>
      </c>
      <c r="D290" s="5" t="s">
        <v>17</v>
      </c>
      <c r="E290" s="5">
        <v>70012.41</v>
      </c>
      <c r="F290" s="5">
        <v>8484</v>
      </c>
      <c r="G290" s="5">
        <v>0.27300000000000002</v>
      </c>
      <c r="H290" s="5">
        <v>23</v>
      </c>
      <c r="I290" s="5">
        <v>72.900000000000006</v>
      </c>
      <c r="J290" s="5">
        <v>3.34</v>
      </c>
      <c r="K290" s="5">
        <v>0</v>
      </c>
      <c r="L290" s="5">
        <v>3.7</v>
      </c>
      <c r="M290" s="5">
        <v>729424.42</v>
      </c>
      <c r="N290" s="5">
        <v>75592.28</v>
      </c>
    </row>
    <row r="291" spans="1:14" x14ac:dyDescent="0.3">
      <c r="A291" s="5" t="s">
        <v>98</v>
      </c>
      <c r="B291" s="6">
        <v>45689</v>
      </c>
      <c r="C291" s="5" t="s">
        <v>16</v>
      </c>
      <c r="D291" s="5" t="s">
        <v>17</v>
      </c>
      <c r="E291" s="5">
        <v>68909.259999999995</v>
      </c>
      <c r="F291" s="5">
        <v>7794</v>
      </c>
      <c r="G291" s="5">
        <v>0.28399999999999997</v>
      </c>
      <c r="H291" s="5">
        <v>22</v>
      </c>
      <c r="I291" s="5">
        <v>89</v>
      </c>
      <c r="J291" s="5">
        <v>0.33</v>
      </c>
      <c r="K291" s="5">
        <v>0</v>
      </c>
      <c r="L291" s="5">
        <v>4</v>
      </c>
      <c r="M291" s="5">
        <v>696261.49</v>
      </c>
      <c r="N291" s="5">
        <v>72455.350000000006</v>
      </c>
    </row>
    <row r="292" spans="1:14" x14ac:dyDescent="0.3">
      <c r="A292" s="5" t="s">
        <v>98</v>
      </c>
      <c r="B292" s="6">
        <v>45717</v>
      </c>
      <c r="C292" s="5" t="s">
        <v>16</v>
      </c>
      <c r="D292" s="5" t="s">
        <v>17</v>
      </c>
      <c r="E292" s="5">
        <v>56737.3</v>
      </c>
      <c r="F292" s="5">
        <v>8300</v>
      </c>
      <c r="G292" s="5">
        <v>3.2000000000000001E-2</v>
      </c>
      <c r="H292" s="5">
        <v>21</v>
      </c>
      <c r="I292" s="5">
        <v>83.2</v>
      </c>
      <c r="J292" s="5">
        <v>3.44</v>
      </c>
      <c r="K292" s="5">
        <v>1</v>
      </c>
      <c r="L292" s="5">
        <v>4.3</v>
      </c>
      <c r="M292" s="5">
        <v>813316.71</v>
      </c>
      <c r="N292" s="5">
        <v>110077.42</v>
      </c>
    </row>
    <row r="293" spans="1:14" x14ac:dyDescent="0.3">
      <c r="A293" s="5" t="s">
        <v>98</v>
      </c>
      <c r="B293" s="6">
        <v>45748</v>
      </c>
      <c r="C293" s="5" t="s">
        <v>16</v>
      </c>
      <c r="D293" s="5" t="s">
        <v>17</v>
      </c>
      <c r="E293" s="5">
        <v>54080.91</v>
      </c>
      <c r="F293" s="5">
        <v>7083</v>
      </c>
      <c r="G293" s="5">
        <v>0</v>
      </c>
      <c r="H293" s="5">
        <v>15</v>
      </c>
      <c r="I293" s="5">
        <v>97</v>
      </c>
      <c r="J293" s="5">
        <v>5.33</v>
      </c>
      <c r="K293" s="5">
        <v>0</v>
      </c>
      <c r="L293" s="5">
        <v>4.0999999999999996</v>
      </c>
      <c r="M293" s="5">
        <v>702068.92</v>
      </c>
      <c r="N293" s="5">
        <v>111266.63</v>
      </c>
    </row>
    <row r="294" spans="1:14" x14ac:dyDescent="0.3">
      <c r="A294" s="5" t="s">
        <v>99</v>
      </c>
      <c r="B294" s="6">
        <v>45658</v>
      </c>
      <c r="C294" s="5" t="s">
        <v>31</v>
      </c>
      <c r="D294" s="5" t="s">
        <v>22</v>
      </c>
      <c r="E294" s="5">
        <v>51996.32</v>
      </c>
      <c r="F294" s="5">
        <v>3834</v>
      </c>
      <c r="G294" s="5">
        <v>9.6000000000000002E-2</v>
      </c>
      <c r="H294" s="5">
        <v>8</v>
      </c>
      <c r="I294" s="5">
        <v>86.7</v>
      </c>
      <c r="J294" s="5">
        <v>6.04</v>
      </c>
      <c r="K294" s="5">
        <v>0</v>
      </c>
      <c r="L294" s="5">
        <v>4.5</v>
      </c>
      <c r="M294" s="5">
        <v>546223.69999999995</v>
      </c>
      <c r="N294" s="5">
        <v>100769.17</v>
      </c>
    </row>
    <row r="295" spans="1:14" x14ac:dyDescent="0.3">
      <c r="A295" s="5" t="s">
        <v>99</v>
      </c>
      <c r="B295" s="6">
        <v>45689</v>
      </c>
      <c r="C295" s="5" t="s">
        <v>31</v>
      </c>
      <c r="D295" s="5" t="s">
        <v>22</v>
      </c>
      <c r="E295" s="5">
        <v>40102.879999999997</v>
      </c>
      <c r="F295" s="5">
        <v>2358</v>
      </c>
      <c r="G295" s="5">
        <v>0.11899999999999999</v>
      </c>
      <c r="H295" s="5">
        <v>9</v>
      </c>
      <c r="I295" s="5">
        <v>88.7</v>
      </c>
      <c r="J295" s="5">
        <v>1.6</v>
      </c>
      <c r="K295" s="5">
        <v>0</v>
      </c>
      <c r="L295" s="5">
        <v>4.2</v>
      </c>
      <c r="M295" s="5">
        <v>533121.26</v>
      </c>
      <c r="N295" s="5">
        <v>55063.39</v>
      </c>
    </row>
    <row r="296" spans="1:14" x14ac:dyDescent="0.3">
      <c r="A296" s="5" t="s">
        <v>99</v>
      </c>
      <c r="B296" s="6">
        <v>45717</v>
      </c>
      <c r="C296" s="5" t="s">
        <v>31</v>
      </c>
      <c r="D296" s="5" t="s">
        <v>22</v>
      </c>
      <c r="E296" s="5">
        <v>59825.51</v>
      </c>
      <c r="F296" s="5">
        <v>1231</v>
      </c>
      <c r="G296" s="5">
        <v>0.214</v>
      </c>
      <c r="H296" s="5">
        <v>10</v>
      </c>
      <c r="I296" s="5">
        <v>84.8</v>
      </c>
      <c r="J296" s="5">
        <v>8.9600000000000009</v>
      </c>
      <c r="K296" s="5">
        <v>0</v>
      </c>
      <c r="L296" s="5">
        <v>4.7</v>
      </c>
      <c r="M296" s="5">
        <v>498970.32</v>
      </c>
      <c r="N296" s="5">
        <v>69656.7</v>
      </c>
    </row>
    <row r="297" spans="1:14" x14ac:dyDescent="0.3">
      <c r="A297" s="5" t="s">
        <v>99</v>
      </c>
      <c r="B297" s="6">
        <v>45748</v>
      </c>
      <c r="C297" s="5" t="s">
        <v>31</v>
      </c>
      <c r="D297" s="5" t="s">
        <v>22</v>
      </c>
      <c r="E297" s="5">
        <v>27398.28</v>
      </c>
      <c r="F297" s="5">
        <v>1723</v>
      </c>
      <c r="G297" s="5">
        <v>0.17100000000000001</v>
      </c>
      <c r="H297" s="5">
        <v>9</v>
      </c>
      <c r="I297" s="5">
        <v>81</v>
      </c>
      <c r="J297" s="5">
        <v>0.74</v>
      </c>
      <c r="K297" s="5">
        <v>0</v>
      </c>
      <c r="L297" s="5">
        <v>4.5999999999999996</v>
      </c>
      <c r="M297" s="5">
        <v>487738.26</v>
      </c>
      <c r="N297" s="5">
        <v>96435.6</v>
      </c>
    </row>
    <row r="298" spans="1:14" x14ac:dyDescent="0.3">
      <c r="A298" s="5" t="s">
        <v>100</v>
      </c>
      <c r="B298" s="6">
        <v>45658</v>
      </c>
      <c r="C298" s="5" t="s">
        <v>31</v>
      </c>
      <c r="D298" s="5" t="s">
        <v>22</v>
      </c>
      <c r="E298" s="5">
        <v>55599.56</v>
      </c>
      <c r="F298" s="5">
        <v>5896</v>
      </c>
      <c r="G298" s="5">
        <v>3.5999999999999997E-2</v>
      </c>
      <c r="H298" s="5">
        <v>12</v>
      </c>
      <c r="I298" s="5">
        <v>93.1</v>
      </c>
      <c r="J298" s="5">
        <v>6.13</v>
      </c>
      <c r="K298" s="5">
        <v>0</v>
      </c>
      <c r="L298" s="5">
        <v>3.3</v>
      </c>
      <c r="M298" s="5">
        <v>668459.37</v>
      </c>
      <c r="N298" s="5">
        <v>126435.42</v>
      </c>
    </row>
    <row r="299" spans="1:14" x14ac:dyDescent="0.3">
      <c r="A299" s="5" t="s">
        <v>100</v>
      </c>
      <c r="B299" s="6">
        <v>45689</v>
      </c>
      <c r="C299" s="5" t="s">
        <v>31</v>
      </c>
      <c r="D299" s="5" t="s">
        <v>22</v>
      </c>
      <c r="E299" s="5">
        <v>55477.61</v>
      </c>
      <c r="F299" s="5">
        <v>5903</v>
      </c>
      <c r="G299" s="5">
        <v>0.10199999999999999</v>
      </c>
      <c r="H299" s="5">
        <v>14</v>
      </c>
      <c r="I299" s="5">
        <v>96.2</v>
      </c>
      <c r="J299" s="5">
        <v>1.41</v>
      </c>
      <c r="K299" s="5">
        <v>0</v>
      </c>
      <c r="L299" s="5">
        <v>3.3</v>
      </c>
      <c r="M299" s="5">
        <v>763162.45</v>
      </c>
      <c r="N299" s="5">
        <v>162524.04999999999</v>
      </c>
    </row>
    <row r="300" spans="1:14" x14ac:dyDescent="0.3">
      <c r="A300" s="5" t="s">
        <v>100</v>
      </c>
      <c r="B300" s="6">
        <v>45717</v>
      </c>
      <c r="C300" s="5" t="s">
        <v>31</v>
      </c>
      <c r="D300" s="5" t="s">
        <v>22</v>
      </c>
      <c r="E300" s="5">
        <v>46174.7</v>
      </c>
      <c r="F300" s="5">
        <v>4898</v>
      </c>
      <c r="G300" s="5">
        <v>0.114</v>
      </c>
      <c r="H300" s="5">
        <v>11</v>
      </c>
      <c r="I300" s="5">
        <v>91.7</v>
      </c>
      <c r="J300" s="5">
        <v>3.75</v>
      </c>
      <c r="K300" s="5">
        <v>0</v>
      </c>
      <c r="L300" s="5">
        <v>3.1</v>
      </c>
      <c r="M300" s="5">
        <v>599017.32999999996</v>
      </c>
      <c r="N300" s="5">
        <v>134009.92000000001</v>
      </c>
    </row>
    <row r="301" spans="1:14" x14ac:dyDescent="0.3">
      <c r="A301" s="5" t="s">
        <v>100</v>
      </c>
      <c r="B301" s="6">
        <v>45748</v>
      </c>
      <c r="C301" s="5" t="s">
        <v>31</v>
      </c>
      <c r="D301" s="5" t="s">
        <v>22</v>
      </c>
      <c r="E301" s="5">
        <v>24362.98</v>
      </c>
      <c r="F301" s="5">
        <v>1462</v>
      </c>
      <c r="G301" s="5">
        <v>0.11700000000000001</v>
      </c>
      <c r="H301" s="5">
        <v>6</v>
      </c>
      <c r="I301" s="5">
        <v>89.3</v>
      </c>
      <c r="J301" s="5">
        <v>15.06</v>
      </c>
      <c r="K301" s="5">
        <v>0</v>
      </c>
      <c r="L301" s="5">
        <v>3.2</v>
      </c>
      <c r="M301" s="5">
        <v>401582.58</v>
      </c>
      <c r="N301" s="5">
        <v>68454.929999999993</v>
      </c>
    </row>
    <row r="302" spans="1:14" x14ac:dyDescent="0.3">
      <c r="A302" s="5" t="s">
        <v>101</v>
      </c>
      <c r="B302" s="6">
        <v>45658</v>
      </c>
      <c r="C302" s="5" t="s">
        <v>24</v>
      </c>
      <c r="D302" s="5" t="s">
        <v>32</v>
      </c>
      <c r="E302" s="5">
        <v>40647.67</v>
      </c>
      <c r="F302" s="5">
        <v>8252</v>
      </c>
      <c r="G302" s="5">
        <v>0.14099999999999999</v>
      </c>
      <c r="H302" s="5">
        <v>22</v>
      </c>
      <c r="I302" s="5">
        <v>88.2</v>
      </c>
      <c r="J302" s="5">
        <v>5.07</v>
      </c>
      <c r="K302" s="5">
        <v>1</v>
      </c>
      <c r="L302" s="5">
        <v>4.0999999999999996</v>
      </c>
      <c r="M302" s="5">
        <v>703812.99</v>
      </c>
      <c r="N302" s="5">
        <v>133577.98000000001</v>
      </c>
    </row>
    <row r="303" spans="1:14" x14ac:dyDescent="0.3">
      <c r="A303" s="5" t="s">
        <v>101</v>
      </c>
      <c r="B303" s="6">
        <v>45689</v>
      </c>
      <c r="C303" s="5" t="s">
        <v>24</v>
      </c>
      <c r="D303" s="5" t="s">
        <v>32</v>
      </c>
      <c r="E303" s="5">
        <v>63986.98</v>
      </c>
      <c r="F303" s="5">
        <v>7989</v>
      </c>
      <c r="G303" s="5">
        <v>7.3999999999999996E-2</v>
      </c>
      <c r="H303" s="5">
        <v>20</v>
      </c>
      <c r="I303" s="5">
        <v>83.3</v>
      </c>
      <c r="J303" s="5">
        <v>3.6</v>
      </c>
      <c r="K303" s="5">
        <v>0</v>
      </c>
      <c r="L303" s="5">
        <v>3.7</v>
      </c>
      <c r="M303" s="5">
        <v>724346.73</v>
      </c>
      <c r="N303" s="5">
        <v>155013.91</v>
      </c>
    </row>
    <row r="304" spans="1:14" x14ac:dyDescent="0.3">
      <c r="A304" s="5" t="s">
        <v>101</v>
      </c>
      <c r="B304" s="6">
        <v>45717</v>
      </c>
      <c r="C304" s="5" t="s">
        <v>24</v>
      </c>
      <c r="D304" s="5" t="s">
        <v>32</v>
      </c>
      <c r="E304" s="5">
        <v>52843.75</v>
      </c>
      <c r="F304" s="5">
        <v>8268</v>
      </c>
      <c r="G304" s="5">
        <v>0.13800000000000001</v>
      </c>
      <c r="H304" s="5">
        <v>19</v>
      </c>
      <c r="I304" s="5">
        <v>87.3</v>
      </c>
      <c r="J304" s="5">
        <v>4.3899999999999997</v>
      </c>
      <c r="K304" s="5">
        <v>1</v>
      </c>
      <c r="L304" s="5">
        <v>4.7</v>
      </c>
      <c r="M304" s="5">
        <v>730890.01</v>
      </c>
      <c r="N304" s="5">
        <v>105502.56</v>
      </c>
    </row>
    <row r="305" spans="1:14" x14ac:dyDescent="0.3">
      <c r="A305" s="5" t="s">
        <v>101</v>
      </c>
      <c r="B305" s="6">
        <v>45748</v>
      </c>
      <c r="C305" s="5" t="s">
        <v>24</v>
      </c>
      <c r="D305" s="5" t="s">
        <v>32</v>
      </c>
      <c r="E305" s="5">
        <v>31997.25</v>
      </c>
      <c r="F305" s="5">
        <v>8183</v>
      </c>
      <c r="G305" s="5">
        <v>0.19800000000000001</v>
      </c>
      <c r="H305" s="5">
        <v>18</v>
      </c>
      <c r="I305" s="5">
        <v>93</v>
      </c>
      <c r="J305" s="5">
        <v>2.79</v>
      </c>
      <c r="K305" s="5">
        <v>0</v>
      </c>
      <c r="L305" s="5">
        <v>4.2</v>
      </c>
      <c r="M305" s="5">
        <v>780580.95</v>
      </c>
      <c r="N305" s="5">
        <v>138144.46</v>
      </c>
    </row>
    <row r="306" spans="1:14" x14ac:dyDescent="0.3">
      <c r="A306" s="5" t="s">
        <v>102</v>
      </c>
      <c r="B306" s="6">
        <v>45658</v>
      </c>
      <c r="C306" s="5" t="s">
        <v>28</v>
      </c>
      <c r="D306" s="5" t="s">
        <v>17</v>
      </c>
      <c r="E306" s="5">
        <v>54948.02</v>
      </c>
      <c r="F306" s="5">
        <v>6534</v>
      </c>
      <c r="G306" s="5">
        <v>0.183</v>
      </c>
      <c r="H306" s="5">
        <v>14</v>
      </c>
      <c r="I306" s="5">
        <v>94.5</v>
      </c>
      <c r="J306" s="5">
        <v>1.56</v>
      </c>
      <c r="K306" s="5">
        <v>0</v>
      </c>
      <c r="L306" s="5">
        <v>4</v>
      </c>
      <c r="M306" s="5">
        <v>727957.48</v>
      </c>
      <c r="N306" s="5">
        <v>74805.23</v>
      </c>
    </row>
    <row r="307" spans="1:14" x14ac:dyDescent="0.3">
      <c r="A307" s="5" t="s">
        <v>102</v>
      </c>
      <c r="B307" s="6">
        <v>45689</v>
      </c>
      <c r="C307" s="5" t="s">
        <v>28</v>
      </c>
      <c r="D307" s="5" t="s">
        <v>17</v>
      </c>
      <c r="E307" s="5">
        <v>46146.239999999998</v>
      </c>
      <c r="F307" s="5">
        <v>5804</v>
      </c>
      <c r="G307" s="5">
        <v>4.7E-2</v>
      </c>
      <c r="H307" s="5">
        <v>16</v>
      </c>
      <c r="I307" s="5">
        <v>86.9</v>
      </c>
      <c r="J307" s="5">
        <v>15.82</v>
      </c>
      <c r="K307" s="5">
        <v>0</v>
      </c>
      <c r="L307" s="5">
        <v>3.8</v>
      </c>
      <c r="M307" s="5">
        <v>538376</v>
      </c>
      <c r="N307" s="5">
        <v>87605.62</v>
      </c>
    </row>
    <row r="308" spans="1:14" x14ac:dyDescent="0.3">
      <c r="A308" s="5" t="s">
        <v>102</v>
      </c>
      <c r="B308" s="6">
        <v>45717</v>
      </c>
      <c r="C308" s="5" t="s">
        <v>28</v>
      </c>
      <c r="D308" s="5" t="s">
        <v>17</v>
      </c>
      <c r="E308" s="5">
        <v>22387.26</v>
      </c>
      <c r="F308" s="5">
        <v>6301</v>
      </c>
      <c r="G308" s="5">
        <v>0.14599999999999999</v>
      </c>
      <c r="H308" s="5">
        <v>14</v>
      </c>
      <c r="I308" s="5">
        <v>85.9</v>
      </c>
      <c r="J308" s="5">
        <v>1.17</v>
      </c>
      <c r="K308" s="5">
        <v>1</v>
      </c>
      <c r="L308" s="5">
        <v>3.7</v>
      </c>
      <c r="M308" s="5">
        <v>665342.49</v>
      </c>
      <c r="N308" s="5">
        <v>93441.81</v>
      </c>
    </row>
    <row r="309" spans="1:14" x14ac:dyDescent="0.3">
      <c r="A309" s="5" t="s">
        <v>102</v>
      </c>
      <c r="B309" s="6">
        <v>45748</v>
      </c>
      <c r="C309" s="5" t="s">
        <v>28</v>
      </c>
      <c r="D309" s="5" t="s">
        <v>17</v>
      </c>
      <c r="E309" s="5">
        <v>60684.05</v>
      </c>
      <c r="F309" s="5">
        <v>6399</v>
      </c>
      <c r="G309" s="5">
        <v>7.4999999999999997E-2</v>
      </c>
      <c r="H309" s="5">
        <v>16</v>
      </c>
      <c r="I309" s="5">
        <v>99</v>
      </c>
      <c r="J309" s="5">
        <v>3.82</v>
      </c>
      <c r="K309" s="5">
        <v>0</v>
      </c>
      <c r="L309" s="5">
        <v>3.5</v>
      </c>
      <c r="M309" s="5">
        <v>651164.18000000005</v>
      </c>
      <c r="N309" s="5">
        <v>109466.5</v>
      </c>
    </row>
    <row r="310" spans="1:14" x14ac:dyDescent="0.3">
      <c r="A310" s="5" t="s">
        <v>103</v>
      </c>
      <c r="B310" s="6">
        <v>45658</v>
      </c>
      <c r="C310" s="5" t="s">
        <v>28</v>
      </c>
      <c r="D310" s="5" t="s">
        <v>22</v>
      </c>
      <c r="E310" s="5">
        <v>48465.599999999999</v>
      </c>
      <c r="F310" s="5">
        <v>5759</v>
      </c>
      <c r="G310" s="5">
        <v>0.154</v>
      </c>
      <c r="H310" s="5">
        <v>13</v>
      </c>
      <c r="I310" s="5">
        <v>87.5</v>
      </c>
      <c r="J310" s="5">
        <v>4.1399999999999997</v>
      </c>
      <c r="K310" s="5">
        <v>0</v>
      </c>
      <c r="L310" s="5">
        <v>4</v>
      </c>
      <c r="M310" s="5">
        <v>628538.30000000005</v>
      </c>
      <c r="N310" s="5">
        <v>112509.15</v>
      </c>
    </row>
    <row r="311" spans="1:14" x14ac:dyDescent="0.3">
      <c r="A311" s="5" t="s">
        <v>103</v>
      </c>
      <c r="B311" s="6">
        <v>45689</v>
      </c>
      <c r="C311" s="5" t="s">
        <v>28</v>
      </c>
      <c r="D311" s="5" t="s">
        <v>22</v>
      </c>
      <c r="E311" s="5">
        <v>23702.38</v>
      </c>
      <c r="F311" s="5">
        <v>5285</v>
      </c>
      <c r="G311" s="5">
        <v>0.16700000000000001</v>
      </c>
      <c r="H311" s="5">
        <v>14</v>
      </c>
      <c r="I311" s="5">
        <v>79.7</v>
      </c>
      <c r="J311" s="5">
        <v>1.1000000000000001</v>
      </c>
      <c r="K311" s="5">
        <v>0</v>
      </c>
      <c r="L311" s="5">
        <v>4.3</v>
      </c>
      <c r="M311" s="5">
        <v>536524.84</v>
      </c>
      <c r="N311" s="5">
        <v>92752.94</v>
      </c>
    </row>
    <row r="312" spans="1:14" x14ac:dyDescent="0.3">
      <c r="A312" s="5" t="s">
        <v>103</v>
      </c>
      <c r="B312" s="6">
        <v>45717</v>
      </c>
      <c r="C312" s="5" t="s">
        <v>28</v>
      </c>
      <c r="D312" s="5" t="s">
        <v>22</v>
      </c>
      <c r="E312" s="5">
        <v>54322.94</v>
      </c>
      <c r="F312" s="5">
        <v>5434</v>
      </c>
      <c r="G312" s="5">
        <v>0.2</v>
      </c>
      <c r="H312" s="5">
        <v>13</v>
      </c>
      <c r="I312" s="5">
        <v>85.7</v>
      </c>
      <c r="J312" s="5">
        <v>10.6</v>
      </c>
      <c r="K312" s="5">
        <v>0</v>
      </c>
      <c r="L312" s="5">
        <v>4.2</v>
      </c>
      <c r="M312" s="5">
        <v>621677.30000000005</v>
      </c>
      <c r="N312" s="5">
        <v>105192.52</v>
      </c>
    </row>
    <row r="313" spans="1:14" x14ac:dyDescent="0.3">
      <c r="A313" s="5" t="s">
        <v>103</v>
      </c>
      <c r="B313" s="6">
        <v>45748</v>
      </c>
      <c r="C313" s="5" t="s">
        <v>28</v>
      </c>
      <c r="D313" s="5" t="s">
        <v>22</v>
      </c>
      <c r="E313" s="5">
        <v>86026.58</v>
      </c>
      <c r="F313" s="5">
        <v>7479</v>
      </c>
      <c r="G313" s="5">
        <v>0.14199999999999999</v>
      </c>
      <c r="H313" s="5">
        <v>20</v>
      </c>
      <c r="I313" s="5">
        <v>89</v>
      </c>
      <c r="J313" s="5">
        <v>0.9</v>
      </c>
      <c r="K313" s="5">
        <v>0</v>
      </c>
      <c r="L313" s="5">
        <v>3.9246789999999998</v>
      </c>
      <c r="M313" s="5">
        <v>771129.07</v>
      </c>
      <c r="N313" s="5">
        <v>116851.13</v>
      </c>
    </row>
    <row r="314" spans="1:14" x14ac:dyDescent="0.3">
      <c r="A314" s="5" t="s">
        <v>104</v>
      </c>
      <c r="B314" s="6">
        <v>45658</v>
      </c>
      <c r="C314" s="5" t="s">
        <v>24</v>
      </c>
      <c r="D314" s="5" t="s">
        <v>17</v>
      </c>
      <c r="E314" s="5">
        <v>78967.520000000004</v>
      </c>
      <c r="F314" s="5">
        <v>6164</v>
      </c>
      <c r="G314" s="5">
        <v>2.1000000000000001E-2</v>
      </c>
      <c r="H314" s="5">
        <v>16</v>
      </c>
      <c r="I314" s="5">
        <v>85.5</v>
      </c>
      <c r="J314" s="5">
        <v>0.2</v>
      </c>
      <c r="K314" s="5">
        <v>0</v>
      </c>
      <c r="L314" s="5">
        <v>3.4</v>
      </c>
      <c r="M314" s="5">
        <v>702052.47</v>
      </c>
      <c r="N314" s="5">
        <v>121732.51</v>
      </c>
    </row>
    <row r="315" spans="1:14" x14ac:dyDescent="0.3">
      <c r="A315" s="5" t="s">
        <v>104</v>
      </c>
      <c r="B315" s="6">
        <v>45689</v>
      </c>
      <c r="C315" s="5" t="s">
        <v>24</v>
      </c>
      <c r="D315" s="5" t="s">
        <v>17</v>
      </c>
      <c r="E315" s="5">
        <v>46767.99</v>
      </c>
      <c r="F315" s="5">
        <v>7973</v>
      </c>
      <c r="G315" s="5">
        <v>0.183</v>
      </c>
      <c r="H315" s="5">
        <v>18</v>
      </c>
      <c r="I315" s="5">
        <v>94.8</v>
      </c>
      <c r="J315" s="5">
        <v>4.67</v>
      </c>
      <c r="K315" s="5">
        <v>0</v>
      </c>
      <c r="L315" s="5">
        <v>3.9246789999999998</v>
      </c>
      <c r="M315" s="5">
        <v>688368.46</v>
      </c>
      <c r="N315" s="5">
        <v>93588.42</v>
      </c>
    </row>
    <row r="316" spans="1:14" x14ac:dyDescent="0.3">
      <c r="A316" s="5" t="s">
        <v>104</v>
      </c>
      <c r="B316" s="6">
        <v>45717</v>
      </c>
      <c r="C316" s="5" t="s">
        <v>24</v>
      </c>
      <c r="D316" s="5" t="s">
        <v>17</v>
      </c>
      <c r="E316" s="5">
        <v>62507.16</v>
      </c>
      <c r="F316" s="5">
        <v>6000</v>
      </c>
      <c r="G316" s="5">
        <v>9.0999999999999998E-2</v>
      </c>
      <c r="H316" s="5">
        <v>14</v>
      </c>
      <c r="I316" s="5">
        <v>98.2</v>
      </c>
      <c r="J316" s="5">
        <v>4.38</v>
      </c>
      <c r="K316" s="5">
        <v>1</v>
      </c>
      <c r="L316" s="5">
        <v>3.9</v>
      </c>
      <c r="M316" s="5">
        <v>712375.77</v>
      </c>
      <c r="N316" s="5">
        <v>104171.53</v>
      </c>
    </row>
    <row r="317" spans="1:14" x14ac:dyDescent="0.3">
      <c r="A317" s="5" t="s">
        <v>104</v>
      </c>
      <c r="B317" s="6">
        <v>45748</v>
      </c>
      <c r="C317" s="5" t="s">
        <v>24</v>
      </c>
      <c r="D317" s="5" t="s">
        <v>17</v>
      </c>
      <c r="E317" s="5">
        <v>66456.28</v>
      </c>
      <c r="F317" s="5">
        <v>9967</v>
      </c>
      <c r="G317" s="5">
        <v>0.108</v>
      </c>
      <c r="H317" s="5">
        <v>20</v>
      </c>
      <c r="I317" s="5">
        <v>94.7</v>
      </c>
      <c r="J317" s="5">
        <v>4.4800000000000004</v>
      </c>
      <c r="K317" s="5">
        <v>0</v>
      </c>
      <c r="L317" s="5">
        <v>4.2</v>
      </c>
      <c r="M317" s="5">
        <v>844710.67</v>
      </c>
      <c r="N317" s="5">
        <v>137140.18</v>
      </c>
    </row>
    <row r="318" spans="1:14" x14ac:dyDescent="0.3">
      <c r="A318" s="5" t="s">
        <v>105</v>
      </c>
      <c r="B318" s="6">
        <v>45658</v>
      </c>
      <c r="C318" s="5" t="s">
        <v>16</v>
      </c>
      <c r="D318" s="5" t="s">
        <v>17</v>
      </c>
      <c r="E318" s="5">
        <v>76614.320000000007</v>
      </c>
      <c r="F318" s="5">
        <v>5639</v>
      </c>
      <c r="G318" s="5">
        <v>0.17399999999999999</v>
      </c>
      <c r="H318" s="5">
        <v>15</v>
      </c>
      <c r="I318" s="5">
        <v>92.9</v>
      </c>
      <c r="J318" s="5">
        <v>1.02</v>
      </c>
      <c r="K318" s="5">
        <v>1</v>
      </c>
      <c r="L318" s="5">
        <v>4</v>
      </c>
      <c r="M318" s="5">
        <v>620264.19999999995</v>
      </c>
      <c r="N318" s="5">
        <v>91365.64</v>
      </c>
    </row>
    <row r="319" spans="1:14" x14ac:dyDescent="0.3">
      <c r="A319" s="5" t="s">
        <v>105</v>
      </c>
      <c r="B319" s="6">
        <v>45689</v>
      </c>
      <c r="C319" s="5" t="s">
        <v>16</v>
      </c>
      <c r="D319" s="5" t="s">
        <v>17</v>
      </c>
      <c r="E319" s="5">
        <v>24088.06</v>
      </c>
      <c r="F319" s="5">
        <v>3466</v>
      </c>
      <c r="G319" s="5">
        <v>0</v>
      </c>
      <c r="H319" s="5">
        <v>11</v>
      </c>
      <c r="I319" s="5">
        <v>88</v>
      </c>
      <c r="J319" s="5">
        <v>0.2</v>
      </c>
      <c r="K319" s="5">
        <v>0</v>
      </c>
      <c r="L319" s="5">
        <v>3.8</v>
      </c>
      <c r="M319" s="5">
        <v>536845.42000000004</v>
      </c>
      <c r="N319" s="5">
        <v>107473.75</v>
      </c>
    </row>
    <row r="320" spans="1:14" x14ac:dyDescent="0.3">
      <c r="A320" s="5" t="s">
        <v>105</v>
      </c>
      <c r="B320" s="6">
        <v>45717</v>
      </c>
      <c r="C320" s="5" t="s">
        <v>16</v>
      </c>
      <c r="D320" s="5" t="s">
        <v>17</v>
      </c>
      <c r="E320" s="5">
        <v>81902.58</v>
      </c>
      <c r="F320" s="5">
        <v>7775</v>
      </c>
      <c r="G320" s="5">
        <v>0.215</v>
      </c>
      <c r="H320" s="5">
        <v>20</v>
      </c>
      <c r="I320" s="5">
        <v>85.2</v>
      </c>
      <c r="J320" s="5">
        <v>4.8899999999999997</v>
      </c>
      <c r="K320" s="5">
        <v>1</v>
      </c>
      <c r="L320" s="5">
        <v>4.2</v>
      </c>
      <c r="M320" s="5">
        <v>726776.22</v>
      </c>
      <c r="N320" s="5">
        <v>90804.49</v>
      </c>
    </row>
    <row r="321" spans="1:14" x14ac:dyDescent="0.3">
      <c r="A321" s="5" t="s">
        <v>105</v>
      </c>
      <c r="B321" s="6">
        <v>45748</v>
      </c>
      <c r="C321" s="5" t="s">
        <v>16</v>
      </c>
      <c r="D321" s="5" t="s">
        <v>17</v>
      </c>
      <c r="E321" s="5">
        <v>40553.11</v>
      </c>
      <c r="F321" s="5">
        <v>5317</v>
      </c>
      <c r="G321" s="5">
        <v>0.16500000000000001</v>
      </c>
      <c r="H321" s="5">
        <v>17</v>
      </c>
      <c r="I321" s="5">
        <v>84.3</v>
      </c>
      <c r="J321" s="5">
        <v>11.82</v>
      </c>
      <c r="K321" s="5">
        <v>0</v>
      </c>
      <c r="L321" s="5">
        <v>4.0999999999999996</v>
      </c>
      <c r="M321" s="5">
        <v>559660.84</v>
      </c>
      <c r="N321" s="5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Views>
    <sheetView workbookViewId="0">
      <selection activeCell="I4" sqref="I4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33203125" bestFit="1" customWidth="1"/>
    <col min="4" max="4" width="10" bestFit="1" customWidth="1"/>
    <col min="5" max="5" width="15.77734375" bestFit="1" customWidth="1"/>
    <col min="6" max="6" width="7.109375" bestFit="1" customWidth="1"/>
    <col min="7" max="7" width="16" bestFit="1" customWidth="1"/>
    <col min="8" max="8" width="10.6640625" bestFit="1" customWidth="1"/>
    <col min="9" max="9" width="23.109375" bestFit="1" customWidth="1"/>
    <col min="10" max="10" width="22.33203125" bestFit="1" customWidth="1"/>
    <col min="11" max="11" width="11.33203125" bestFit="1" customWidth="1"/>
    <col min="12" max="12" width="14.88671875" bestFit="1" customWidth="1"/>
    <col min="13" max="13" width="13.21875" bestFit="1" customWidth="1"/>
    <col min="14" max="14" width="13.88671875" bestFit="1" customWidth="1"/>
    <col min="15" max="15" width="12.109375" bestFit="1" customWidth="1"/>
    <col min="16" max="16" width="13.6640625" bestFit="1" customWidth="1"/>
    <col min="17" max="17" width="12.88671875" bestFit="1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106</v>
      </c>
      <c r="P1" s="4" t="s">
        <v>107</v>
      </c>
      <c r="Q1" s="4" t="s">
        <v>108</v>
      </c>
    </row>
    <row r="2" spans="1:17" x14ac:dyDescent="0.3">
      <c r="A2" s="5" t="s">
        <v>14</v>
      </c>
      <c r="B2" s="6">
        <v>45658</v>
      </c>
      <c r="C2" s="5" t="s">
        <v>16</v>
      </c>
      <c r="D2" s="5" t="s">
        <v>17</v>
      </c>
      <c r="E2" s="5">
        <v>70389.11</v>
      </c>
      <c r="F2" s="5">
        <v>8302</v>
      </c>
      <c r="G2" s="5">
        <v>4.2000000000000003E-2</v>
      </c>
      <c r="H2" s="5">
        <v>17</v>
      </c>
      <c r="I2" s="5">
        <v>75</v>
      </c>
      <c r="J2" s="5">
        <v>5.28</v>
      </c>
      <c r="K2" s="5">
        <v>1</v>
      </c>
      <c r="L2" s="5">
        <v>3.1</v>
      </c>
      <c r="M2" s="5">
        <v>658832.62</v>
      </c>
      <c r="N2" s="5">
        <v>84349.93</v>
      </c>
      <c r="O2">
        <f>IF(C2="East",1,0)</f>
        <v>1</v>
      </c>
      <c r="P2">
        <f>IF(C2="North",1,0)</f>
        <v>0</v>
      </c>
      <c r="Q2">
        <f>IF(C2="west",1,0)</f>
        <v>0</v>
      </c>
    </row>
    <row r="3" spans="1:17" x14ac:dyDescent="0.3">
      <c r="A3" s="5" t="s">
        <v>14</v>
      </c>
      <c r="B3" s="6">
        <v>45689</v>
      </c>
      <c r="C3" s="5" t="s">
        <v>16</v>
      </c>
      <c r="D3" s="5" t="s">
        <v>17</v>
      </c>
      <c r="E3" s="5">
        <v>43827.89</v>
      </c>
      <c r="F3" s="5">
        <v>8487</v>
      </c>
      <c r="G3" s="5">
        <v>0.16800000000000001</v>
      </c>
      <c r="H3" s="5">
        <v>23</v>
      </c>
      <c r="I3" s="5">
        <v>84.4</v>
      </c>
      <c r="J3" s="5">
        <v>4.3099999999999996</v>
      </c>
      <c r="K3" s="5">
        <v>0</v>
      </c>
      <c r="L3" s="5">
        <v>2.8</v>
      </c>
      <c r="M3" s="5">
        <v>634436</v>
      </c>
      <c r="N3" s="5">
        <v>106130.54</v>
      </c>
      <c r="O3">
        <f t="shared" ref="O3:O66" si="0">IF(C3="East",1,0)</f>
        <v>1</v>
      </c>
      <c r="P3">
        <f t="shared" ref="P3:P66" si="1">IF(C3="North",1,0)</f>
        <v>0</v>
      </c>
      <c r="Q3">
        <f t="shared" ref="Q3:Q66" si="2">IF(C3="west",1,0)</f>
        <v>0</v>
      </c>
    </row>
    <row r="4" spans="1:17" x14ac:dyDescent="0.3">
      <c r="A4" s="5" t="s">
        <v>14</v>
      </c>
      <c r="B4" s="6">
        <v>45717</v>
      </c>
      <c r="C4" s="5" t="s">
        <v>16</v>
      </c>
      <c r="D4" s="5" t="s">
        <v>17</v>
      </c>
      <c r="E4" s="5">
        <v>59921.75</v>
      </c>
      <c r="F4" s="5">
        <v>9113</v>
      </c>
      <c r="G4" s="5">
        <v>0.13300000000000001</v>
      </c>
      <c r="H4" s="5">
        <v>20</v>
      </c>
      <c r="I4" s="5">
        <v>88</v>
      </c>
      <c r="J4" s="5">
        <v>12</v>
      </c>
      <c r="K4" s="5">
        <v>0</v>
      </c>
      <c r="L4" s="5">
        <v>3.2</v>
      </c>
      <c r="M4" s="5">
        <v>678722.06</v>
      </c>
      <c r="N4" s="5">
        <v>101883.86</v>
      </c>
      <c r="O4">
        <f t="shared" si="0"/>
        <v>1</v>
      </c>
      <c r="P4">
        <f t="shared" si="1"/>
        <v>0</v>
      </c>
      <c r="Q4">
        <f t="shared" si="2"/>
        <v>0</v>
      </c>
    </row>
    <row r="5" spans="1:17" x14ac:dyDescent="0.3">
      <c r="A5" s="5" t="s">
        <v>14</v>
      </c>
      <c r="B5" s="6">
        <v>45748</v>
      </c>
      <c r="C5" s="5" t="s">
        <v>16</v>
      </c>
      <c r="D5" s="5" t="s">
        <v>17</v>
      </c>
      <c r="E5" s="5">
        <v>56856.63</v>
      </c>
      <c r="F5" s="5">
        <v>9431</v>
      </c>
      <c r="G5" s="5">
        <v>0.14199999999999999</v>
      </c>
      <c r="H5" s="5">
        <v>23</v>
      </c>
      <c r="I5" s="5">
        <v>86.9</v>
      </c>
      <c r="J5" s="5">
        <v>4.97</v>
      </c>
      <c r="K5" s="5">
        <v>0</v>
      </c>
      <c r="L5" s="5">
        <v>3.4</v>
      </c>
      <c r="M5" s="5">
        <v>658920.30000000005</v>
      </c>
      <c r="N5" s="5">
        <v>97910.37</v>
      </c>
      <c r="O5">
        <f t="shared" si="0"/>
        <v>1</v>
      </c>
      <c r="P5">
        <f t="shared" si="1"/>
        <v>0</v>
      </c>
      <c r="Q5">
        <f t="shared" si="2"/>
        <v>0</v>
      </c>
    </row>
    <row r="6" spans="1:17" x14ac:dyDescent="0.3">
      <c r="A6" s="5" t="s">
        <v>21</v>
      </c>
      <c r="B6" s="6">
        <v>45658</v>
      </c>
      <c r="C6" s="5" t="s">
        <v>16</v>
      </c>
      <c r="D6" s="5" t="s">
        <v>22</v>
      </c>
      <c r="E6" s="5">
        <v>48412.639999999999</v>
      </c>
      <c r="F6" s="5">
        <v>9545</v>
      </c>
      <c r="G6" s="5">
        <v>0.23100000000000001</v>
      </c>
      <c r="H6" s="5">
        <v>21</v>
      </c>
      <c r="I6" s="5">
        <v>97.6</v>
      </c>
      <c r="J6" s="5">
        <v>6.94</v>
      </c>
      <c r="K6" s="5">
        <v>1</v>
      </c>
      <c r="L6" s="5">
        <v>4.2</v>
      </c>
      <c r="M6" s="5">
        <v>741341.44</v>
      </c>
      <c r="N6" s="5">
        <v>119208.17</v>
      </c>
      <c r="O6">
        <f t="shared" si="0"/>
        <v>1</v>
      </c>
      <c r="P6">
        <f t="shared" si="1"/>
        <v>0</v>
      </c>
      <c r="Q6">
        <f t="shared" si="2"/>
        <v>0</v>
      </c>
    </row>
    <row r="7" spans="1:17" x14ac:dyDescent="0.3">
      <c r="A7" s="5" t="s">
        <v>21</v>
      </c>
      <c r="B7" s="6">
        <v>45689</v>
      </c>
      <c r="C7" s="5" t="s">
        <v>16</v>
      </c>
      <c r="D7" s="5" t="s">
        <v>22</v>
      </c>
      <c r="E7" s="5">
        <v>64811.21</v>
      </c>
      <c r="F7" s="5">
        <v>9792</v>
      </c>
      <c r="G7" s="5">
        <v>0.112</v>
      </c>
      <c r="H7" s="5">
        <v>20</v>
      </c>
      <c r="I7" s="5">
        <v>84.2</v>
      </c>
      <c r="J7" s="5">
        <v>2.88</v>
      </c>
      <c r="K7" s="5">
        <v>0</v>
      </c>
      <c r="L7" s="5">
        <v>4.2</v>
      </c>
      <c r="M7" s="5">
        <v>761835.34</v>
      </c>
      <c r="N7" s="5">
        <v>149602.23000000001</v>
      </c>
      <c r="O7">
        <f t="shared" si="0"/>
        <v>1</v>
      </c>
      <c r="P7">
        <f t="shared" si="1"/>
        <v>0</v>
      </c>
      <c r="Q7">
        <f t="shared" si="2"/>
        <v>0</v>
      </c>
    </row>
    <row r="8" spans="1:17" x14ac:dyDescent="0.3">
      <c r="A8" s="5" t="s">
        <v>21</v>
      </c>
      <c r="B8" s="6">
        <v>45717</v>
      </c>
      <c r="C8" s="5" t="s">
        <v>16</v>
      </c>
      <c r="D8" s="5" t="s">
        <v>22</v>
      </c>
      <c r="E8" s="5">
        <v>46213.45</v>
      </c>
      <c r="F8" s="5">
        <v>10616</v>
      </c>
      <c r="G8" s="5">
        <v>0.122</v>
      </c>
      <c r="H8" s="5">
        <v>22</v>
      </c>
      <c r="I8" s="5">
        <v>85.2</v>
      </c>
      <c r="J8" s="5">
        <v>0.2</v>
      </c>
      <c r="K8" s="5">
        <v>1</v>
      </c>
      <c r="L8" s="5">
        <v>4.0999999999999996</v>
      </c>
      <c r="M8" s="5">
        <v>806615.54</v>
      </c>
      <c r="N8" s="5">
        <v>131364.62</v>
      </c>
      <c r="O8">
        <f t="shared" si="0"/>
        <v>1</v>
      </c>
      <c r="P8">
        <f t="shared" si="1"/>
        <v>0</v>
      </c>
      <c r="Q8">
        <f t="shared" si="2"/>
        <v>0</v>
      </c>
    </row>
    <row r="9" spans="1:17" x14ac:dyDescent="0.3">
      <c r="A9" s="5" t="s">
        <v>21</v>
      </c>
      <c r="B9" s="6">
        <v>45748</v>
      </c>
      <c r="C9" s="5" t="s">
        <v>16</v>
      </c>
      <c r="D9" s="5" t="s">
        <v>22</v>
      </c>
      <c r="E9" s="5">
        <v>68148.52</v>
      </c>
      <c r="F9" s="5">
        <v>8567</v>
      </c>
      <c r="G9" s="5">
        <v>0.127</v>
      </c>
      <c r="H9" s="5">
        <v>23</v>
      </c>
      <c r="I9" s="5">
        <v>95.6</v>
      </c>
      <c r="J9" s="5">
        <v>0.8</v>
      </c>
      <c r="K9" s="5">
        <v>0</v>
      </c>
      <c r="L9" s="5">
        <v>3.9</v>
      </c>
      <c r="M9" s="5">
        <v>850164.26</v>
      </c>
      <c r="N9" s="5">
        <v>149262.75</v>
      </c>
      <c r="O9">
        <f t="shared" si="0"/>
        <v>1</v>
      </c>
      <c r="P9">
        <f t="shared" si="1"/>
        <v>0</v>
      </c>
      <c r="Q9">
        <f t="shared" si="2"/>
        <v>0</v>
      </c>
    </row>
    <row r="10" spans="1:17" x14ac:dyDescent="0.3">
      <c r="A10" s="5" t="s">
        <v>23</v>
      </c>
      <c r="B10" s="6">
        <v>45658</v>
      </c>
      <c r="C10" s="5" t="s">
        <v>24</v>
      </c>
      <c r="D10" s="5" t="s">
        <v>25</v>
      </c>
      <c r="E10" s="5">
        <v>71838.86</v>
      </c>
      <c r="F10" s="5">
        <v>10979</v>
      </c>
      <c r="G10" s="5">
        <v>0.215</v>
      </c>
      <c r="H10" s="5">
        <v>26</v>
      </c>
      <c r="I10" s="5">
        <v>88.6</v>
      </c>
      <c r="J10" s="5">
        <v>7.7</v>
      </c>
      <c r="K10" s="5">
        <v>1</v>
      </c>
      <c r="L10" s="5">
        <v>3.8</v>
      </c>
      <c r="M10" s="5">
        <v>930581.7</v>
      </c>
      <c r="N10" s="5">
        <v>136207.98000000001</v>
      </c>
      <c r="O10">
        <f t="shared" si="0"/>
        <v>0</v>
      </c>
      <c r="P10">
        <f t="shared" si="1"/>
        <v>1</v>
      </c>
      <c r="Q10">
        <f t="shared" si="2"/>
        <v>0</v>
      </c>
    </row>
    <row r="11" spans="1:17" x14ac:dyDescent="0.3">
      <c r="A11" s="5" t="s">
        <v>23</v>
      </c>
      <c r="B11" s="6">
        <v>45689</v>
      </c>
      <c r="C11" s="5" t="s">
        <v>24</v>
      </c>
      <c r="D11" s="5" t="s">
        <v>25</v>
      </c>
      <c r="E11" s="5">
        <v>68133.440000000002</v>
      </c>
      <c r="F11" s="5">
        <v>9459</v>
      </c>
      <c r="G11" s="5">
        <v>0.22</v>
      </c>
      <c r="H11" s="5">
        <v>21</v>
      </c>
      <c r="I11" s="5">
        <v>85</v>
      </c>
      <c r="J11" s="5">
        <v>1.91</v>
      </c>
      <c r="K11" s="5">
        <v>0</v>
      </c>
      <c r="L11" s="5">
        <v>4.2</v>
      </c>
      <c r="M11" s="5">
        <v>779010.94</v>
      </c>
      <c r="N11" s="5">
        <v>106328.09</v>
      </c>
      <c r="O11">
        <f t="shared" si="0"/>
        <v>0</v>
      </c>
      <c r="P11">
        <f t="shared" si="1"/>
        <v>1</v>
      </c>
      <c r="Q11">
        <f t="shared" si="2"/>
        <v>0</v>
      </c>
    </row>
    <row r="12" spans="1:17" x14ac:dyDescent="0.3">
      <c r="A12" s="5" t="s">
        <v>23</v>
      </c>
      <c r="B12" s="6">
        <v>45717</v>
      </c>
      <c r="C12" s="5" t="s">
        <v>24</v>
      </c>
      <c r="D12" s="5" t="s">
        <v>25</v>
      </c>
      <c r="E12" s="5">
        <v>34285.21</v>
      </c>
      <c r="F12" s="5">
        <v>9172</v>
      </c>
      <c r="G12" s="5">
        <v>0.21299999999999999</v>
      </c>
      <c r="H12" s="5">
        <v>22</v>
      </c>
      <c r="I12" s="5">
        <v>88.3</v>
      </c>
      <c r="J12" s="5">
        <v>10.46</v>
      </c>
      <c r="K12" s="5">
        <v>1</v>
      </c>
      <c r="L12" s="5">
        <v>3.8</v>
      </c>
      <c r="M12" s="5">
        <v>723060.76</v>
      </c>
      <c r="N12" s="5">
        <v>123131.24</v>
      </c>
      <c r="O12">
        <f t="shared" si="0"/>
        <v>0</v>
      </c>
      <c r="P12">
        <f t="shared" si="1"/>
        <v>1</v>
      </c>
      <c r="Q12">
        <f t="shared" si="2"/>
        <v>0</v>
      </c>
    </row>
    <row r="13" spans="1:17" x14ac:dyDescent="0.3">
      <c r="A13" s="5" t="s">
        <v>23</v>
      </c>
      <c r="B13" s="6">
        <v>45748</v>
      </c>
      <c r="C13" s="5" t="s">
        <v>24</v>
      </c>
      <c r="D13" s="5" t="s">
        <v>25</v>
      </c>
      <c r="E13" s="5">
        <v>67979.88</v>
      </c>
      <c r="F13" s="5">
        <v>11230</v>
      </c>
      <c r="G13" s="5">
        <v>2E-3</v>
      </c>
      <c r="H13" s="5">
        <v>28</v>
      </c>
      <c r="I13" s="5">
        <v>85.3</v>
      </c>
      <c r="J13" s="5">
        <v>7.16</v>
      </c>
      <c r="K13" s="5">
        <v>0</v>
      </c>
      <c r="L13" s="5">
        <v>3.8</v>
      </c>
      <c r="M13" s="5">
        <v>910791.94</v>
      </c>
      <c r="N13" s="5">
        <v>158891.28</v>
      </c>
      <c r="O13">
        <f t="shared" si="0"/>
        <v>0</v>
      </c>
      <c r="P13">
        <f t="shared" si="1"/>
        <v>1</v>
      </c>
      <c r="Q13">
        <f t="shared" si="2"/>
        <v>0</v>
      </c>
    </row>
    <row r="14" spans="1:17" x14ac:dyDescent="0.3">
      <c r="A14" s="5" t="s">
        <v>26</v>
      </c>
      <c r="B14" s="6">
        <v>45658</v>
      </c>
      <c r="C14" s="5" t="s">
        <v>16</v>
      </c>
      <c r="D14" s="5" t="s">
        <v>17</v>
      </c>
      <c r="E14" s="5">
        <v>71828.259999999995</v>
      </c>
      <c r="F14" s="5">
        <v>12775</v>
      </c>
      <c r="G14" s="5">
        <v>0.11600000000000001</v>
      </c>
      <c r="H14" s="5">
        <v>30</v>
      </c>
      <c r="I14" s="5">
        <v>81.7</v>
      </c>
      <c r="J14" s="5">
        <v>4.24</v>
      </c>
      <c r="K14" s="5">
        <v>1</v>
      </c>
      <c r="L14" s="5">
        <v>4.2</v>
      </c>
      <c r="M14" s="5">
        <v>922168.6</v>
      </c>
      <c r="N14" s="5">
        <v>107494.53</v>
      </c>
      <c r="O14">
        <f t="shared" si="0"/>
        <v>1</v>
      </c>
      <c r="P14">
        <f t="shared" si="1"/>
        <v>0</v>
      </c>
      <c r="Q14">
        <f t="shared" si="2"/>
        <v>0</v>
      </c>
    </row>
    <row r="15" spans="1:17" x14ac:dyDescent="0.3">
      <c r="A15" s="5" t="s">
        <v>26</v>
      </c>
      <c r="B15" s="6">
        <v>45689</v>
      </c>
      <c r="C15" s="5" t="s">
        <v>16</v>
      </c>
      <c r="D15" s="5" t="s">
        <v>17</v>
      </c>
      <c r="E15" s="5">
        <v>55716.82</v>
      </c>
      <c r="F15" s="5">
        <v>10054</v>
      </c>
      <c r="G15" s="5">
        <v>0.14599999999999999</v>
      </c>
      <c r="H15" s="5">
        <v>24</v>
      </c>
      <c r="I15" s="5">
        <v>84.9</v>
      </c>
      <c r="J15" s="5">
        <v>1.06</v>
      </c>
      <c r="K15" s="5">
        <v>0</v>
      </c>
      <c r="L15" s="5">
        <v>4.3</v>
      </c>
      <c r="M15" s="5">
        <v>726606.28</v>
      </c>
      <c r="N15" s="5">
        <v>122729.29</v>
      </c>
      <c r="O15">
        <f t="shared" si="0"/>
        <v>1</v>
      </c>
      <c r="P15">
        <f t="shared" si="1"/>
        <v>0</v>
      </c>
      <c r="Q15">
        <f t="shared" si="2"/>
        <v>0</v>
      </c>
    </row>
    <row r="16" spans="1:17" x14ac:dyDescent="0.3">
      <c r="A16" s="5" t="s">
        <v>26</v>
      </c>
      <c r="B16" s="6">
        <v>45717</v>
      </c>
      <c r="C16" s="5" t="s">
        <v>16</v>
      </c>
      <c r="D16" s="5" t="s">
        <v>17</v>
      </c>
      <c r="E16" s="5">
        <v>59909.51</v>
      </c>
      <c r="F16" s="5">
        <v>8895</v>
      </c>
      <c r="G16" s="5">
        <v>0.22800000000000001</v>
      </c>
      <c r="H16" s="5">
        <v>23</v>
      </c>
      <c r="I16" s="5">
        <v>88.8</v>
      </c>
      <c r="J16" s="5">
        <v>0.27</v>
      </c>
      <c r="K16" s="5">
        <v>0</v>
      </c>
      <c r="L16" s="5">
        <v>4.3</v>
      </c>
      <c r="M16" s="5">
        <v>746501.09</v>
      </c>
      <c r="N16" s="5">
        <v>136816.72</v>
      </c>
      <c r="O16">
        <f t="shared" si="0"/>
        <v>1</v>
      </c>
      <c r="P16">
        <f t="shared" si="1"/>
        <v>0</v>
      </c>
      <c r="Q16">
        <f t="shared" si="2"/>
        <v>0</v>
      </c>
    </row>
    <row r="17" spans="1:17" x14ac:dyDescent="0.3">
      <c r="A17" s="5" t="s">
        <v>26</v>
      </c>
      <c r="B17" s="6">
        <v>45748</v>
      </c>
      <c r="C17" s="5" t="s">
        <v>16</v>
      </c>
      <c r="D17" s="5" t="s">
        <v>17</v>
      </c>
      <c r="E17" s="5">
        <v>75305.710000000006</v>
      </c>
      <c r="F17" s="5">
        <v>10940</v>
      </c>
      <c r="G17" s="5">
        <v>6.0000000000000001E-3</v>
      </c>
      <c r="H17" s="5">
        <v>26</v>
      </c>
      <c r="I17" s="5">
        <v>76.5</v>
      </c>
      <c r="J17" s="5">
        <v>1.32</v>
      </c>
      <c r="K17" s="5">
        <v>0</v>
      </c>
      <c r="L17" s="5">
        <v>4.5</v>
      </c>
      <c r="M17" s="5">
        <v>834017.02</v>
      </c>
      <c r="N17" s="5">
        <v>114745.03</v>
      </c>
      <c r="O17">
        <f t="shared" si="0"/>
        <v>1</v>
      </c>
      <c r="P17">
        <f t="shared" si="1"/>
        <v>0</v>
      </c>
      <c r="Q17">
        <f t="shared" si="2"/>
        <v>0</v>
      </c>
    </row>
    <row r="18" spans="1:17" x14ac:dyDescent="0.3">
      <c r="A18" s="5" t="s">
        <v>27</v>
      </c>
      <c r="B18" s="6">
        <v>45658</v>
      </c>
      <c r="C18" s="5" t="s">
        <v>28</v>
      </c>
      <c r="D18" s="5" t="s">
        <v>17</v>
      </c>
      <c r="E18" s="5">
        <v>48804.22</v>
      </c>
      <c r="F18" s="5">
        <v>7057</v>
      </c>
      <c r="G18" s="5">
        <v>5.0000000000000001E-3</v>
      </c>
      <c r="H18" s="5">
        <v>15</v>
      </c>
      <c r="I18" s="5">
        <v>87.7</v>
      </c>
      <c r="J18" s="5">
        <v>1.22</v>
      </c>
      <c r="K18" s="5">
        <v>0</v>
      </c>
      <c r="L18" s="5">
        <v>3.7</v>
      </c>
      <c r="M18" s="5">
        <v>666152.52</v>
      </c>
      <c r="N18" s="5">
        <v>107490.58</v>
      </c>
      <c r="O18">
        <f t="shared" si="0"/>
        <v>0</v>
      </c>
      <c r="P18">
        <f t="shared" si="1"/>
        <v>0</v>
      </c>
      <c r="Q18">
        <f t="shared" si="2"/>
        <v>0</v>
      </c>
    </row>
    <row r="19" spans="1:17" x14ac:dyDescent="0.3">
      <c r="A19" s="5" t="s">
        <v>27</v>
      </c>
      <c r="B19" s="6">
        <v>45689</v>
      </c>
      <c r="C19" s="5" t="s">
        <v>28</v>
      </c>
      <c r="D19" s="5" t="s">
        <v>17</v>
      </c>
      <c r="E19" s="5">
        <v>59117.9</v>
      </c>
      <c r="F19" s="5">
        <v>4263</v>
      </c>
      <c r="G19" s="5">
        <v>0.11899999999999999</v>
      </c>
      <c r="H19" s="5">
        <v>9</v>
      </c>
      <c r="I19" s="5">
        <v>87.6</v>
      </c>
      <c r="J19" s="5">
        <v>4.01</v>
      </c>
      <c r="K19" s="5">
        <v>0</v>
      </c>
      <c r="L19" s="5">
        <v>3.6</v>
      </c>
      <c r="M19" s="5">
        <v>573155.18999999994</v>
      </c>
      <c r="N19" s="5">
        <v>83680.75</v>
      </c>
      <c r="O19">
        <f t="shared" si="0"/>
        <v>0</v>
      </c>
      <c r="P19">
        <f t="shared" si="1"/>
        <v>0</v>
      </c>
      <c r="Q19">
        <f t="shared" si="2"/>
        <v>0</v>
      </c>
    </row>
    <row r="20" spans="1:17" x14ac:dyDescent="0.3">
      <c r="A20" s="5" t="s">
        <v>27</v>
      </c>
      <c r="B20" s="6">
        <v>45717</v>
      </c>
      <c r="C20" s="5" t="s">
        <v>28</v>
      </c>
      <c r="D20" s="5" t="s">
        <v>17</v>
      </c>
      <c r="E20" s="5">
        <v>78831.12</v>
      </c>
      <c r="F20" s="5">
        <v>5538</v>
      </c>
      <c r="G20" s="5">
        <v>0</v>
      </c>
      <c r="H20" s="5">
        <v>15</v>
      </c>
      <c r="I20" s="5">
        <v>94.1</v>
      </c>
      <c r="J20" s="5">
        <v>0.2</v>
      </c>
      <c r="K20" s="5">
        <v>0</v>
      </c>
      <c r="L20" s="5">
        <v>3.9</v>
      </c>
      <c r="M20" s="5">
        <v>666573.19999999995</v>
      </c>
      <c r="N20" s="5">
        <v>140641.01999999999</v>
      </c>
      <c r="O20">
        <f t="shared" si="0"/>
        <v>0</v>
      </c>
      <c r="P20">
        <f t="shared" si="1"/>
        <v>0</v>
      </c>
      <c r="Q20">
        <f t="shared" si="2"/>
        <v>0</v>
      </c>
    </row>
    <row r="21" spans="1:17" x14ac:dyDescent="0.3">
      <c r="A21" s="5" t="s">
        <v>27</v>
      </c>
      <c r="B21" s="6">
        <v>45748</v>
      </c>
      <c r="C21" s="5" t="s">
        <v>28</v>
      </c>
      <c r="D21" s="5" t="s">
        <v>17</v>
      </c>
      <c r="E21" s="5">
        <v>41441.93</v>
      </c>
      <c r="F21" s="5">
        <v>4865</v>
      </c>
      <c r="G21" s="5">
        <v>0.158</v>
      </c>
      <c r="H21" s="5">
        <v>16</v>
      </c>
      <c r="I21" s="5">
        <v>88.3</v>
      </c>
      <c r="J21" s="5">
        <v>0.5</v>
      </c>
      <c r="K21" s="5">
        <v>0</v>
      </c>
      <c r="L21" s="5">
        <v>4</v>
      </c>
      <c r="M21" s="5">
        <v>591619.94999999995</v>
      </c>
      <c r="N21" s="5">
        <v>99521.35</v>
      </c>
      <c r="O21">
        <f t="shared" si="0"/>
        <v>0</v>
      </c>
      <c r="P21">
        <f t="shared" si="1"/>
        <v>0</v>
      </c>
      <c r="Q21">
        <f t="shared" si="2"/>
        <v>0</v>
      </c>
    </row>
    <row r="22" spans="1:17" x14ac:dyDescent="0.3">
      <c r="A22" s="5" t="s">
        <v>29</v>
      </c>
      <c r="B22" s="6">
        <v>45658</v>
      </c>
      <c r="C22" s="5" t="s">
        <v>24</v>
      </c>
      <c r="D22" s="5" t="s">
        <v>17</v>
      </c>
      <c r="E22" s="5">
        <v>30356.28</v>
      </c>
      <c r="F22" s="5">
        <v>2822</v>
      </c>
      <c r="G22" s="5">
        <v>0.23100000000000001</v>
      </c>
      <c r="H22" s="5">
        <v>9</v>
      </c>
      <c r="I22" s="5">
        <v>84.8</v>
      </c>
      <c r="J22" s="5">
        <v>6.95</v>
      </c>
      <c r="K22" s="5">
        <v>0</v>
      </c>
      <c r="L22" s="5">
        <v>5</v>
      </c>
      <c r="M22" s="5">
        <v>415721.82</v>
      </c>
      <c r="N22" s="5">
        <v>61179.15</v>
      </c>
      <c r="O22">
        <f t="shared" si="0"/>
        <v>0</v>
      </c>
      <c r="P22">
        <f t="shared" si="1"/>
        <v>1</v>
      </c>
      <c r="Q22">
        <f t="shared" si="2"/>
        <v>0</v>
      </c>
    </row>
    <row r="23" spans="1:17" x14ac:dyDescent="0.3">
      <c r="A23" s="5" t="s">
        <v>29</v>
      </c>
      <c r="B23" s="6">
        <v>45689</v>
      </c>
      <c r="C23" s="5" t="s">
        <v>24</v>
      </c>
      <c r="D23" s="5" t="s">
        <v>17</v>
      </c>
      <c r="E23" s="5">
        <v>33518.879999999997</v>
      </c>
      <c r="F23" s="5">
        <v>2121</v>
      </c>
      <c r="G23" s="5">
        <v>0.17599999999999999</v>
      </c>
      <c r="H23" s="5">
        <v>8</v>
      </c>
      <c r="I23" s="5">
        <v>88.5</v>
      </c>
      <c r="J23" s="5">
        <v>0.2</v>
      </c>
      <c r="K23" s="5">
        <v>0</v>
      </c>
      <c r="L23" s="5">
        <v>5</v>
      </c>
      <c r="M23" s="5">
        <v>491905.13</v>
      </c>
      <c r="N23" s="5">
        <v>79212.259999999995</v>
      </c>
      <c r="O23">
        <f t="shared" si="0"/>
        <v>0</v>
      </c>
      <c r="P23">
        <f t="shared" si="1"/>
        <v>1</v>
      </c>
      <c r="Q23">
        <f t="shared" si="2"/>
        <v>0</v>
      </c>
    </row>
    <row r="24" spans="1:17" x14ac:dyDescent="0.3">
      <c r="A24" s="5" t="s">
        <v>29</v>
      </c>
      <c r="B24" s="6">
        <v>45717</v>
      </c>
      <c r="C24" s="5" t="s">
        <v>24</v>
      </c>
      <c r="D24" s="5" t="s">
        <v>17</v>
      </c>
      <c r="E24" s="5">
        <v>42267.37</v>
      </c>
      <c r="F24" s="5">
        <v>3364</v>
      </c>
      <c r="G24" s="5">
        <v>0.16</v>
      </c>
      <c r="H24" s="5">
        <v>13</v>
      </c>
      <c r="I24" s="5">
        <v>82</v>
      </c>
      <c r="J24" s="5">
        <v>1.61</v>
      </c>
      <c r="K24" s="5">
        <v>1</v>
      </c>
      <c r="L24" s="5">
        <v>4.5999999999999996</v>
      </c>
      <c r="M24" s="5">
        <v>555929.4</v>
      </c>
      <c r="N24" s="5">
        <v>115201.76</v>
      </c>
      <c r="O24">
        <f t="shared" si="0"/>
        <v>0</v>
      </c>
      <c r="P24">
        <f t="shared" si="1"/>
        <v>1</v>
      </c>
      <c r="Q24">
        <f t="shared" si="2"/>
        <v>0</v>
      </c>
    </row>
    <row r="25" spans="1:17" x14ac:dyDescent="0.3">
      <c r="A25" s="5" t="s">
        <v>29</v>
      </c>
      <c r="B25" s="6">
        <v>45748</v>
      </c>
      <c r="C25" s="5" t="s">
        <v>24</v>
      </c>
      <c r="D25" s="5" t="s">
        <v>17</v>
      </c>
      <c r="E25" s="5">
        <v>62060.43</v>
      </c>
      <c r="F25" s="5">
        <v>2613</v>
      </c>
      <c r="G25" s="5">
        <v>0.216</v>
      </c>
      <c r="H25" s="5">
        <v>12</v>
      </c>
      <c r="I25" s="5">
        <v>92.1</v>
      </c>
      <c r="J25" s="5">
        <v>1.55</v>
      </c>
      <c r="K25" s="5">
        <v>0</v>
      </c>
      <c r="L25" s="5">
        <v>4.7</v>
      </c>
      <c r="M25" s="5">
        <v>565810.99</v>
      </c>
      <c r="N25" s="5">
        <v>77825.460000000006</v>
      </c>
      <c r="O25">
        <f t="shared" si="0"/>
        <v>0</v>
      </c>
      <c r="P25">
        <f t="shared" si="1"/>
        <v>1</v>
      </c>
      <c r="Q25">
        <f t="shared" si="2"/>
        <v>0</v>
      </c>
    </row>
    <row r="26" spans="1:17" x14ac:dyDescent="0.3">
      <c r="A26" s="5" t="s">
        <v>30</v>
      </c>
      <c r="B26" s="6">
        <v>45658</v>
      </c>
      <c r="C26" s="5" t="s">
        <v>31</v>
      </c>
      <c r="D26" s="5" t="s">
        <v>32</v>
      </c>
      <c r="E26" s="5">
        <v>57696.69</v>
      </c>
      <c r="F26" s="5">
        <v>10218</v>
      </c>
      <c r="G26" s="5">
        <v>0.121</v>
      </c>
      <c r="H26" s="5">
        <v>25</v>
      </c>
      <c r="I26" s="5">
        <v>94.8</v>
      </c>
      <c r="J26" s="5">
        <v>2.99</v>
      </c>
      <c r="K26" s="5">
        <v>0</v>
      </c>
      <c r="L26" s="5">
        <v>3.5</v>
      </c>
      <c r="M26" s="5">
        <v>811771.14</v>
      </c>
      <c r="N26" s="5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 x14ac:dyDescent="0.3">
      <c r="A27" s="5" t="s">
        <v>30</v>
      </c>
      <c r="B27" s="6">
        <v>45689</v>
      </c>
      <c r="C27" s="5" t="s">
        <v>31</v>
      </c>
      <c r="D27" s="5" t="s">
        <v>32</v>
      </c>
      <c r="E27" s="5">
        <v>172415.52</v>
      </c>
      <c r="F27" s="5">
        <v>8927</v>
      </c>
      <c r="G27" s="5">
        <v>0.14000000000000001</v>
      </c>
      <c r="H27" s="5">
        <v>22</v>
      </c>
      <c r="I27" s="5">
        <v>86.2</v>
      </c>
      <c r="J27" s="5">
        <v>7.04</v>
      </c>
      <c r="K27" s="5">
        <v>0</v>
      </c>
      <c r="L27" s="5">
        <v>3.9</v>
      </c>
      <c r="M27" s="5">
        <v>800451.94</v>
      </c>
      <c r="N27" s="5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 x14ac:dyDescent="0.3">
      <c r="A28" s="5" t="s">
        <v>30</v>
      </c>
      <c r="B28" s="6">
        <v>45717</v>
      </c>
      <c r="C28" s="5" t="s">
        <v>31</v>
      </c>
      <c r="D28" s="5" t="s">
        <v>32</v>
      </c>
      <c r="E28" s="5">
        <v>55270.52</v>
      </c>
      <c r="F28" s="5">
        <v>9315</v>
      </c>
      <c r="G28" s="5">
        <v>0.16900000000000001</v>
      </c>
      <c r="H28" s="5">
        <v>23</v>
      </c>
      <c r="I28" s="5">
        <v>91.9</v>
      </c>
      <c r="J28" s="5">
        <v>4.9400000000000004</v>
      </c>
      <c r="K28" s="5">
        <v>0</v>
      </c>
      <c r="L28" s="5">
        <v>4</v>
      </c>
      <c r="M28" s="5">
        <v>783672.82</v>
      </c>
      <c r="N28" s="5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 x14ac:dyDescent="0.3">
      <c r="A29" s="5" t="s">
        <v>30</v>
      </c>
      <c r="B29" s="6">
        <v>45748</v>
      </c>
      <c r="C29" s="5" t="s">
        <v>31</v>
      </c>
      <c r="D29" s="5" t="s">
        <v>32</v>
      </c>
      <c r="E29" s="5">
        <v>52715.1</v>
      </c>
      <c r="F29" s="5">
        <v>7223</v>
      </c>
      <c r="G29" s="5">
        <v>0.122</v>
      </c>
      <c r="H29" s="5">
        <v>16</v>
      </c>
      <c r="I29" s="5">
        <v>84.2</v>
      </c>
      <c r="J29" s="5">
        <v>16.149999999999999</v>
      </c>
      <c r="K29" s="5">
        <v>0</v>
      </c>
      <c r="L29" s="5">
        <v>3.7</v>
      </c>
      <c r="M29" s="5">
        <v>701641.97</v>
      </c>
      <c r="N29" s="5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 x14ac:dyDescent="0.3">
      <c r="A30" s="5" t="s">
        <v>33</v>
      </c>
      <c r="B30" s="6">
        <v>45658</v>
      </c>
      <c r="C30" s="5" t="s">
        <v>16</v>
      </c>
      <c r="D30" s="5" t="s">
        <v>17</v>
      </c>
      <c r="E30" s="5">
        <v>68600.62</v>
      </c>
      <c r="F30" s="5">
        <v>3988</v>
      </c>
      <c r="G30" s="5">
        <v>0.124</v>
      </c>
      <c r="H30" s="5">
        <v>11</v>
      </c>
      <c r="I30" s="5">
        <v>85</v>
      </c>
      <c r="J30" s="5">
        <v>0.48</v>
      </c>
      <c r="K30" s="5">
        <v>0</v>
      </c>
      <c r="L30" s="5">
        <v>3.6</v>
      </c>
      <c r="M30" s="5">
        <v>511844.41</v>
      </c>
      <c r="N30" s="5">
        <v>72774.44</v>
      </c>
      <c r="O30">
        <f t="shared" si="0"/>
        <v>1</v>
      </c>
      <c r="P30">
        <f t="shared" si="1"/>
        <v>0</v>
      </c>
      <c r="Q30">
        <f t="shared" si="2"/>
        <v>0</v>
      </c>
    </row>
    <row r="31" spans="1:17" x14ac:dyDescent="0.3">
      <c r="A31" s="5" t="s">
        <v>33</v>
      </c>
      <c r="B31" s="6">
        <v>45689</v>
      </c>
      <c r="C31" s="5" t="s">
        <v>16</v>
      </c>
      <c r="D31" s="5" t="s">
        <v>17</v>
      </c>
      <c r="E31" s="5">
        <v>63176.73</v>
      </c>
      <c r="F31" s="5">
        <v>2390</v>
      </c>
      <c r="G31" s="5">
        <v>0.216</v>
      </c>
      <c r="H31" s="5">
        <v>9</v>
      </c>
      <c r="I31" s="5">
        <v>87.5</v>
      </c>
      <c r="J31" s="5">
        <v>0.31</v>
      </c>
      <c r="K31" s="5">
        <v>0</v>
      </c>
      <c r="L31" s="5">
        <v>3.1</v>
      </c>
      <c r="M31" s="5">
        <v>537383.79</v>
      </c>
      <c r="N31" s="5">
        <v>63773.27</v>
      </c>
      <c r="O31">
        <f t="shared" si="0"/>
        <v>1</v>
      </c>
      <c r="P31">
        <f t="shared" si="1"/>
        <v>0</v>
      </c>
      <c r="Q31">
        <f t="shared" si="2"/>
        <v>0</v>
      </c>
    </row>
    <row r="32" spans="1:17" x14ac:dyDescent="0.3">
      <c r="A32" s="5" t="s">
        <v>33</v>
      </c>
      <c r="B32" s="6">
        <v>45717</v>
      </c>
      <c r="C32" s="5" t="s">
        <v>16</v>
      </c>
      <c r="D32" s="5" t="s">
        <v>17</v>
      </c>
      <c r="E32" s="5">
        <v>44970.080000000002</v>
      </c>
      <c r="F32" s="5">
        <v>2471</v>
      </c>
      <c r="G32" s="5">
        <v>0.13600000000000001</v>
      </c>
      <c r="H32" s="5">
        <v>11</v>
      </c>
      <c r="I32" s="5">
        <v>87.6</v>
      </c>
      <c r="J32" s="5">
        <v>3.01</v>
      </c>
      <c r="K32" s="5">
        <v>1</v>
      </c>
      <c r="L32" s="5">
        <v>3.7</v>
      </c>
      <c r="M32" s="5">
        <v>500173.02</v>
      </c>
      <c r="N32" s="5">
        <v>70982.05</v>
      </c>
      <c r="O32">
        <f t="shared" si="0"/>
        <v>1</v>
      </c>
      <c r="P32">
        <f t="shared" si="1"/>
        <v>0</v>
      </c>
      <c r="Q32">
        <f t="shared" si="2"/>
        <v>0</v>
      </c>
    </row>
    <row r="33" spans="1:17" x14ac:dyDescent="0.3">
      <c r="A33" s="5" t="s">
        <v>33</v>
      </c>
      <c r="B33" s="6">
        <v>45748</v>
      </c>
      <c r="C33" s="5" t="s">
        <v>16</v>
      </c>
      <c r="D33" s="5" t="s">
        <v>17</v>
      </c>
      <c r="E33" s="5">
        <v>69816.350000000006</v>
      </c>
      <c r="F33" s="5">
        <v>971</v>
      </c>
      <c r="G33" s="5">
        <v>0.16800000000000001</v>
      </c>
      <c r="H33" s="5">
        <v>5</v>
      </c>
      <c r="I33" s="5">
        <v>89.9</v>
      </c>
      <c r="J33" s="5">
        <v>12.15</v>
      </c>
      <c r="K33" s="5">
        <v>0</v>
      </c>
      <c r="L33" s="5">
        <v>3.6</v>
      </c>
      <c r="M33" s="5">
        <v>427917.38</v>
      </c>
      <c r="N33" s="5">
        <v>81824.31</v>
      </c>
      <c r="O33">
        <f t="shared" si="0"/>
        <v>1</v>
      </c>
      <c r="P33">
        <f t="shared" si="1"/>
        <v>0</v>
      </c>
      <c r="Q33">
        <f t="shared" si="2"/>
        <v>0</v>
      </c>
    </row>
    <row r="34" spans="1:17" x14ac:dyDescent="0.3">
      <c r="A34" s="5" t="s">
        <v>34</v>
      </c>
      <c r="B34" s="6">
        <v>45658</v>
      </c>
      <c r="C34" s="5" t="s">
        <v>24</v>
      </c>
      <c r="D34" s="5" t="s">
        <v>17</v>
      </c>
      <c r="E34" s="5">
        <v>54597.83</v>
      </c>
      <c r="F34" s="5">
        <v>9429</v>
      </c>
      <c r="G34" s="5">
        <v>0.188</v>
      </c>
      <c r="H34" s="5">
        <v>21</v>
      </c>
      <c r="I34" s="5">
        <v>83.3</v>
      </c>
      <c r="J34" s="5">
        <v>11.71</v>
      </c>
      <c r="K34" s="5">
        <v>0</v>
      </c>
      <c r="L34" s="5">
        <v>4.2</v>
      </c>
      <c r="M34" s="5">
        <v>641865.03</v>
      </c>
      <c r="N34" s="5">
        <v>81342.58</v>
      </c>
      <c r="O34">
        <f t="shared" si="0"/>
        <v>0</v>
      </c>
      <c r="P34">
        <f t="shared" si="1"/>
        <v>1</v>
      </c>
      <c r="Q34">
        <f t="shared" si="2"/>
        <v>0</v>
      </c>
    </row>
    <row r="35" spans="1:17" x14ac:dyDescent="0.3">
      <c r="A35" s="5" t="s">
        <v>34</v>
      </c>
      <c r="B35" s="6">
        <v>45689</v>
      </c>
      <c r="C35" s="5" t="s">
        <v>24</v>
      </c>
      <c r="D35" s="5" t="s">
        <v>17</v>
      </c>
      <c r="E35" s="5">
        <v>73771.91</v>
      </c>
      <c r="F35" s="5">
        <v>11695</v>
      </c>
      <c r="G35" s="5">
        <v>7.0000000000000007E-2</v>
      </c>
      <c r="H35" s="5">
        <v>25</v>
      </c>
      <c r="I35" s="5">
        <v>84.7</v>
      </c>
      <c r="J35" s="5">
        <v>0.62</v>
      </c>
      <c r="K35" s="5">
        <v>0</v>
      </c>
      <c r="L35" s="5">
        <v>3.9246789999999998</v>
      </c>
      <c r="M35" s="5">
        <v>799477.76000000001</v>
      </c>
      <c r="N35" s="5">
        <v>164974.41</v>
      </c>
      <c r="O35">
        <f t="shared" si="0"/>
        <v>0</v>
      </c>
      <c r="P35">
        <f t="shared" si="1"/>
        <v>1</v>
      </c>
      <c r="Q35">
        <f t="shared" si="2"/>
        <v>0</v>
      </c>
    </row>
    <row r="36" spans="1:17" x14ac:dyDescent="0.3">
      <c r="A36" s="5" t="s">
        <v>34</v>
      </c>
      <c r="B36" s="6">
        <v>45717</v>
      </c>
      <c r="C36" s="5" t="s">
        <v>24</v>
      </c>
      <c r="D36" s="5" t="s">
        <v>17</v>
      </c>
      <c r="E36" s="5">
        <v>74413.88</v>
      </c>
      <c r="F36" s="5">
        <v>9449</v>
      </c>
      <c r="G36" s="5">
        <v>3.9E-2</v>
      </c>
      <c r="H36" s="5">
        <v>23</v>
      </c>
      <c r="I36" s="5">
        <v>92.1</v>
      </c>
      <c r="J36" s="5">
        <v>2.12</v>
      </c>
      <c r="K36" s="5">
        <v>0</v>
      </c>
      <c r="L36" s="5">
        <v>3.5</v>
      </c>
      <c r="M36" s="5">
        <v>798952.17</v>
      </c>
      <c r="N36" s="5">
        <v>161499.04</v>
      </c>
      <c r="O36">
        <f t="shared" si="0"/>
        <v>0</v>
      </c>
      <c r="P36">
        <f t="shared" si="1"/>
        <v>1</v>
      </c>
      <c r="Q36">
        <f t="shared" si="2"/>
        <v>0</v>
      </c>
    </row>
    <row r="37" spans="1:17" x14ac:dyDescent="0.3">
      <c r="A37" s="5" t="s">
        <v>34</v>
      </c>
      <c r="B37" s="6">
        <v>45748</v>
      </c>
      <c r="C37" s="5" t="s">
        <v>24</v>
      </c>
      <c r="D37" s="5" t="s">
        <v>17</v>
      </c>
      <c r="E37" s="5">
        <v>52483.77</v>
      </c>
      <c r="F37" s="5">
        <v>10453</v>
      </c>
      <c r="G37" s="5">
        <v>0.247</v>
      </c>
      <c r="H37" s="5">
        <v>25</v>
      </c>
      <c r="I37" s="5">
        <v>99</v>
      </c>
      <c r="J37" s="5">
        <v>6.31</v>
      </c>
      <c r="K37" s="5">
        <v>0</v>
      </c>
      <c r="L37" s="5">
        <v>3.6</v>
      </c>
      <c r="M37" s="5">
        <v>800979.78</v>
      </c>
      <c r="N37" s="5">
        <v>149242.26999999999</v>
      </c>
      <c r="O37">
        <f t="shared" si="0"/>
        <v>0</v>
      </c>
      <c r="P37">
        <f t="shared" si="1"/>
        <v>1</v>
      </c>
      <c r="Q37">
        <f t="shared" si="2"/>
        <v>0</v>
      </c>
    </row>
    <row r="38" spans="1:17" x14ac:dyDescent="0.3">
      <c r="A38" s="5" t="s">
        <v>35</v>
      </c>
      <c r="B38" s="6">
        <v>45658</v>
      </c>
      <c r="C38" s="5" t="s">
        <v>24</v>
      </c>
      <c r="D38" s="5" t="s">
        <v>32</v>
      </c>
      <c r="E38" s="5">
        <v>75269.87</v>
      </c>
      <c r="F38" s="5">
        <v>8838</v>
      </c>
      <c r="G38" s="5">
        <v>9.1999999999999998E-2</v>
      </c>
      <c r="H38" s="5">
        <v>21</v>
      </c>
      <c r="I38" s="5">
        <v>83.1</v>
      </c>
      <c r="J38" s="5">
        <v>9.56</v>
      </c>
      <c r="K38" s="5">
        <v>1</v>
      </c>
      <c r="L38" s="5">
        <v>4.2</v>
      </c>
      <c r="M38" s="5">
        <v>820593.93</v>
      </c>
      <c r="N38" s="5">
        <v>115860.06</v>
      </c>
      <c r="O38">
        <f t="shared" si="0"/>
        <v>0</v>
      </c>
      <c r="P38">
        <f t="shared" si="1"/>
        <v>1</v>
      </c>
      <c r="Q38">
        <f t="shared" si="2"/>
        <v>0</v>
      </c>
    </row>
    <row r="39" spans="1:17" x14ac:dyDescent="0.3">
      <c r="A39" s="5" t="s">
        <v>35</v>
      </c>
      <c r="B39" s="6">
        <v>45689</v>
      </c>
      <c r="C39" s="5" t="s">
        <v>24</v>
      </c>
      <c r="D39" s="5" t="s">
        <v>32</v>
      </c>
      <c r="E39" s="5">
        <v>61245.41</v>
      </c>
      <c r="F39" s="5">
        <v>8156</v>
      </c>
      <c r="G39" s="5">
        <v>0.156</v>
      </c>
      <c r="H39" s="5">
        <v>19</v>
      </c>
      <c r="I39" s="5">
        <v>92.9</v>
      </c>
      <c r="J39" s="5">
        <v>9.0500000000000007</v>
      </c>
      <c r="K39" s="5">
        <v>0</v>
      </c>
      <c r="L39" s="5">
        <v>3.8</v>
      </c>
      <c r="M39" s="5">
        <v>718330.53</v>
      </c>
      <c r="N39" s="5">
        <v>93247.9</v>
      </c>
      <c r="O39">
        <f t="shared" si="0"/>
        <v>0</v>
      </c>
      <c r="P39">
        <f t="shared" si="1"/>
        <v>1</v>
      </c>
      <c r="Q39">
        <f t="shared" si="2"/>
        <v>0</v>
      </c>
    </row>
    <row r="40" spans="1:17" x14ac:dyDescent="0.3">
      <c r="A40" s="5" t="s">
        <v>35</v>
      </c>
      <c r="B40" s="6">
        <v>45717</v>
      </c>
      <c r="C40" s="5" t="s">
        <v>24</v>
      </c>
      <c r="D40" s="5" t="s">
        <v>32</v>
      </c>
      <c r="E40" s="5">
        <v>93381.26</v>
      </c>
      <c r="F40" s="5">
        <v>7562</v>
      </c>
      <c r="G40" s="5">
        <v>0.19800000000000001</v>
      </c>
      <c r="H40" s="5">
        <v>19</v>
      </c>
      <c r="I40" s="5">
        <v>82.9</v>
      </c>
      <c r="J40" s="5">
        <v>5.05</v>
      </c>
      <c r="K40" s="5">
        <v>0</v>
      </c>
      <c r="L40" s="5">
        <v>4</v>
      </c>
      <c r="M40" s="5">
        <v>736633.4</v>
      </c>
      <c r="N40" s="5">
        <v>115654.66</v>
      </c>
      <c r="O40">
        <f t="shared" si="0"/>
        <v>0</v>
      </c>
      <c r="P40">
        <f t="shared" si="1"/>
        <v>1</v>
      </c>
      <c r="Q40">
        <f t="shared" si="2"/>
        <v>0</v>
      </c>
    </row>
    <row r="41" spans="1:17" x14ac:dyDescent="0.3">
      <c r="A41" s="5" t="s">
        <v>35</v>
      </c>
      <c r="B41" s="6">
        <v>45748</v>
      </c>
      <c r="C41" s="5" t="s">
        <v>24</v>
      </c>
      <c r="D41" s="5" t="s">
        <v>32</v>
      </c>
      <c r="E41" s="5">
        <v>65012.19</v>
      </c>
      <c r="F41" s="5">
        <v>9598</v>
      </c>
      <c r="G41" s="5">
        <v>8.5000000000000006E-2</v>
      </c>
      <c r="H41" s="5">
        <v>24</v>
      </c>
      <c r="I41" s="5">
        <v>98.3</v>
      </c>
      <c r="J41" s="5">
        <v>0.89</v>
      </c>
      <c r="K41" s="5">
        <v>0</v>
      </c>
      <c r="L41" s="5">
        <v>3.8</v>
      </c>
      <c r="M41" s="5">
        <v>828623.85</v>
      </c>
      <c r="N41" s="5">
        <v>167320.51999999999</v>
      </c>
      <c r="O41">
        <f t="shared" si="0"/>
        <v>0</v>
      </c>
      <c r="P41">
        <f t="shared" si="1"/>
        <v>1</v>
      </c>
      <c r="Q41">
        <f t="shared" si="2"/>
        <v>0</v>
      </c>
    </row>
    <row r="42" spans="1:17" x14ac:dyDescent="0.3">
      <c r="A42" s="5" t="s">
        <v>36</v>
      </c>
      <c r="B42" s="6">
        <v>45658</v>
      </c>
      <c r="C42" s="5" t="s">
        <v>16</v>
      </c>
      <c r="D42" s="5" t="s">
        <v>32</v>
      </c>
      <c r="E42" s="5">
        <v>40462.94</v>
      </c>
      <c r="F42" s="5">
        <v>3660</v>
      </c>
      <c r="G42" s="5">
        <v>0.218</v>
      </c>
      <c r="H42" s="5">
        <v>11</v>
      </c>
      <c r="I42" s="5">
        <v>95.2</v>
      </c>
      <c r="J42" s="5">
        <v>5.57</v>
      </c>
      <c r="K42" s="5">
        <v>0</v>
      </c>
      <c r="L42" s="5">
        <v>4.4000000000000004</v>
      </c>
      <c r="M42" s="5">
        <v>592195.85</v>
      </c>
      <c r="N42" s="5">
        <v>92291.56</v>
      </c>
      <c r="O42">
        <f t="shared" si="0"/>
        <v>1</v>
      </c>
      <c r="P42">
        <f t="shared" si="1"/>
        <v>0</v>
      </c>
      <c r="Q42">
        <f t="shared" si="2"/>
        <v>0</v>
      </c>
    </row>
    <row r="43" spans="1:17" x14ac:dyDescent="0.3">
      <c r="A43" s="5" t="s">
        <v>36</v>
      </c>
      <c r="B43" s="6">
        <v>45689</v>
      </c>
      <c r="C43" s="5" t="s">
        <v>16</v>
      </c>
      <c r="D43" s="5" t="s">
        <v>32</v>
      </c>
      <c r="E43" s="5">
        <v>46123.88</v>
      </c>
      <c r="F43" s="5">
        <v>3227</v>
      </c>
      <c r="G43" s="5">
        <v>0.14299999999999999</v>
      </c>
      <c r="H43" s="5">
        <v>10</v>
      </c>
      <c r="I43" s="5">
        <v>75.400000000000006</v>
      </c>
      <c r="J43" s="5">
        <v>1.06</v>
      </c>
      <c r="K43" s="5">
        <v>0</v>
      </c>
      <c r="L43" s="5">
        <v>4.4000000000000004</v>
      </c>
      <c r="M43" s="5">
        <v>532644.46</v>
      </c>
      <c r="N43" s="5">
        <v>60681.32</v>
      </c>
      <c r="O43">
        <f t="shared" si="0"/>
        <v>1</v>
      </c>
      <c r="P43">
        <f t="shared" si="1"/>
        <v>0</v>
      </c>
      <c r="Q43">
        <f t="shared" si="2"/>
        <v>0</v>
      </c>
    </row>
    <row r="44" spans="1:17" x14ac:dyDescent="0.3">
      <c r="A44" s="5" t="s">
        <v>36</v>
      </c>
      <c r="B44" s="6">
        <v>45717</v>
      </c>
      <c r="C44" s="5" t="s">
        <v>16</v>
      </c>
      <c r="D44" s="5" t="s">
        <v>32</v>
      </c>
      <c r="E44" s="5">
        <v>68077.539999999994</v>
      </c>
      <c r="F44" s="5">
        <v>3360</v>
      </c>
      <c r="G44" s="5">
        <v>0.128</v>
      </c>
      <c r="H44" s="5">
        <v>14</v>
      </c>
      <c r="I44" s="5">
        <v>88.2</v>
      </c>
      <c r="J44" s="5">
        <v>1.24</v>
      </c>
      <c r="K44" s="5">
        <v>1</v>
      </c>
      <c r="L44" s="5">
        <v>4</v>
      </c>
      <c r="M44" s="5">
        <v>657429.18000000005</v>
      </c>
      <c r="N44" s="5">
        <v>88919.74</v>
      </c>
      <c r="O44">
        <f t="shared" si="0"/>
        <v>1</v>
      </c>
      <c r="P44">
        <f t="shared" si="1"/>
        <v>0</v>
      </c>
      <c r="Q44">
        <f t="shared" si="2"/>
        <v>0</v>
      </c>
    </row>
    <row r="45" spans="1:17" x14ac:dyDescent="0.3">
      <c r="A45" s="5" t="s">
        <v>36</v>
      </c>
      <c r="B45" s="6">
        <v>45748</v>
      </c>
      <c r="C45" s="5" t="s">
        <v>16</v>
      </c>
      <c r="D45" s="5" t="s">
        <v>32</v>
      </c>
      <c r="E45" s="5">
        <v>64882.14</v>
      </c>
      <c r="F45" s="5">
        <v>3642</v>
      </c>
      <c r="G45" s="5">
        <v>1.9E-2</v>
      </c>
      <c r="H45" s="5">
        <v>13</v>
      </c>
      <c r="I45" s="5">
        <v>87.8</v>
      </c>
      <c r="J45" s="5">
        <v>4.5199999999999996</v>
      </c>
      <c r="K45" s="5">
        <v>0</v>
      </c>
      <c r="L45" s="5">
        <v>4.2</v>
      </c>
      <c r="M45" s="5">
        <v>605178</v>
      </c>
      <c r="N45" s="5">
        <v>106958.74</v>
      </c>
      <c r="O45">
        <f t="shared" si="0"/>
        <v>1</v>
      </c>
      <c r="P45">
        <f t="shared" si="1"/>
        <v>0</v>
      </c>
      <c r="Q45">
        <f t="shared" si="2"/>
        <v>0</v>
      </c>
    </row>
    <row r="46" spans="1:17" x14ac:dyDescent="0.3">
      <c r="A46" s="5" t="s">
        <v>37</v>
      </c>
      <c r="B46" s="6">
        <v>45658</v>
      </c>
      <c r="C46" s="5" t="s">
        <v>31</v>
      </c>
      <c r="D46" s="5" t="s">
        <v>17</v>
      </c>
      <c r="E46" s="5">
        <v>138855.51</v>
      </c>
      <c r="F46" s="5">
        <v>5145</v>
      </c>
      <c r="G46" s="5">
        <v>0.06</v>
      </c>
      <c r="H46" s="5">
        <v>17</v>
      </c>
      <c r="I46" s="5">
        <v>88.2</v>
      </c>
      <c r="J46" s="5">
        <v>9.58</v>
      </c>
      <c r="K46" s="5">
        <v>0</v>
      </c>
      <c r="L46" s="5">
        <v>3.2</v>
      </c>
      <c r="M46" s="5">
        <v>595467.6</v>
      </c>
      <c r="N46" s="5">
        <v>104276.46</v>
      </c>
      <c r="O46">
        <f t="shared" si="0"/>
        <v>0</v>
      </c>
      <c r="P46">
        <f t="shared" si="1"/>
        <v>0</v>
      </c>
      <c r="Q46">
        <f t="shared" si="2"/>
        <v>1</v>
      </c>
    </row>
    <row r="47" spans="1:17" x14ac:dyDescent="0.3">
      <c r="A47" s="5" t="s">
        <v>37</v>
      </c>
      <c r="B47" s="6">
        <v>45689</v>
      </c>
      <c r="C47" s="5" t="s">
        <v>31</v>
      </c>
      <c r="D47" s="5" t="s">
        <v>17</v>
      </c>
      <c r="E47" s="5">
        <v>63630.21</v>
      </c>
      <c r="F47" s="5">
        <v>4460</v>
      </c>
      <c r="G47" s="5">
        <v>0.23499999999999999</v>
      </c>
      <c r="H47" s="5">
        <v>14</v>
      </c>
      <c r="I47" s="5">
        <v>98.6</v>
      </c>
      <c r="J47" s="5">
        <v>5.52</v>
      </c>
      <c r="K47" s="5">
        <v>0</v>
      </c>
      <c r="L47" s="5">
        <v>3.5</v>
      </c>
      <c r="M47" s="5">
        <v>599603.4</v>
      </c>
      <c r="N47" s="5">
        <v>112685.12</v>
      </c>
      <c r="O47">
        <f t="shared" si="0"/>
        <v>0</v>
      </c>
      <c r="P47">
        <f t="shared" si="1"/>
        <v>0</v>
      </c>
      <c r="Q47">
        <f t="shared" si="2"/>
        <v>1</v>
      </c>
    </row>
    <row r="48" spans="1:17" x14ac:dyDescent="0.3">
      <c r="A48" s="5" t="s">
        <v>37</v>
      </c>
      <c r="B48" s="6">
        <v>45717</v>
      </c>
      <c r="C48" s="5" t="s">
        <v>31</v>
      </c>
      <c r="D48" s="5" t="s">
        <v>17</v>
      </c>
      <c r="E48" s="5">
        <v>50043.65</v>
      </c>
      <c r="F48" s="5">
        <v>3804</v>
      </c>
      <c r="G48" s="5">
        <v>0.113</v>
      </c>
      <c r="H48" s="5">
        <v>11</v>
      </c>
      <c r="I48" s="5">
        <v>90.9</v>
      </c>
      <c r="J48" s="5">
        <v>2.7</v>
      </c>
      <c r="K48" s="5">
        <v>1</v>
      </c>
      <c r="L48" s="5">
        <v>3.2</v>
      </c>
      <c r="M48" s="5">
        <v>614800.09</v>
      </c>
      <c r="N48" s="5">
        <v>100044.2</v>
      </c>
      <c r="O48">
        <f t="shared" si="0"/>
        <v>0</v>
      </c>
      <c r="P48">
        <f t="shared" si="1"/>
        <v>0</v>
      </c>
      <c r="Q48">
        <f t="shared" si="2"/>
        <v>1</v>
      </c>
    </row>
    <row r="49" spans="1:17" x14ac:dyDescent="0.3">
      <c r="A49" s="5" t="s">
        <v>37</v>
      </c>
      <c r="B49" s="6">
        <v>45748</v>
      </c>
      <c r="C49" s="5" t="s">
        <v>31</v>
      </c>
      <c r="D49" s="5" t="s">
        <v>17</v>
      </c>
      <c r="E49" s="5">
        <v>42093.84</v>
      </c>
      <c r="F49" s="5">
        <v>4074</v>
      </c>
      <c r="G49" s="5">
        <v>0.155</v>
      </c>
      <c r="H49" s="5">
        <v>15</v>
      </c>
      <c r="I49" s="5">
        <v>88</v>
      </c>
      <c r="J49" s="5">
        <v>9.64</v>
      </c>
      <c r="K49" s="5">
        <v>0</v>
      </c>
      <c r="L49" s="5">
        <v>3.3</v>
      </c>
      <c r="M49" s="5">
        <v>585365.73</v>
      </c>
      <c r="N49" s="5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</row>
    <row r="50" spans="1:17" x14ac:dyDescent="0.3">
      <c r="A50" s="5" t="s">
        <v>38</v>
      </c>
      <c r="B50" s="6">
        <v>45658</v>
      </c>
      <c r="C50" s="5" t="s">
        <v>24</v>
      </c>
      <c r="D50" s="5" t="s">
        <v>32</v>
      </c>
      <c r="E50" s="5">
        <v>46624.05</v>
      </c>
      <c r="F50" s="5">
        <v>5104</v>
      </c>
      <c r="G50" s="5">
        <v>0.109</v>
      </c>
      <c r="H50" s="5">
        <v>11</v>
      </c>
      <c r="I50" s="5">
        <v>97.3</v>
      </c>
      <c r="J50" s="5">
        <v>3.49</v>
      </c>
      <c r="K50" s="5">
        <v>1</v>
      </c>
      <c r="L50" s="5">
        <v>4.7</v>
      </c>
      <c r="M50" s="5">
        <v>622811.74</v>
      </c>
      <c r="N50" s="5">
        <v>109978.35</v>
      </c>
      <c r="O50">
        <f t="shared" si="0"/>
        <v>0</v>
      </c>
      <c r="P50">
        <f t="shared" si="1"/>
        <v>1</v>
      </c>
      <c r="Q50">
        <f t="shared" si="2"/>
        <v>0</v>
      </c>
    </row>
    <row r="51" spans="1:17" x14ac:dyDescent="0.3">
      <c r="A51" s="5" t="s">
        <v>38</v>
      </c>
      <c r="B51" s="6">
        <v>45689</v>
      </c>
      <c r="C51" s="5" t="s">
        <v>24</v>
      </c>
      <c r="D51" s="5" t="s">
        <v>32</v>
      </c>
      <c r="E51" s="5">
        <v>49710.29</v>
      </c>
      <c r="F51" s="5">
        <v>5559</v>
      </c>
      <c r="G51" s="5">
        <v>0.218</v>
      </c>
      <c r="H51" s="5">
        <v>14</v>
      </c>
      <c r="I51" s="5">
        <v>71</v>
      </c>
      <c r="J51" s="5">
        <v>9.11</v>
      </c>
      <c r="K51" s="5">
        <v>0</v>
      </c>
      <c r="L51" s="5">
        <v>4.5999999999999996</v>
      </c>
      <c r="M51" s="5">
        <v>603297.56999999995</v>
      </c>
      <c r="N51" s="5">
        <v>60592.26</v>
      </c>
      <c r="O51">
        <f t="shared" si="0"/>
        <v>0</v>
      </c>
      <c r="P51">
        <f t="shared" si="1"/>
        <v>1</v>
      </c>
      <c r="Q51">
        <f t="shared" si="2"/>
        <v>0</v>
      </c>
    </row>
    <row r="52" spans="1:17" x14ac:dyDescent="0.3">
      <c r="A52" s="5" t="s">
        <v>38</v>
      </c>
      <c r="B52" s="6">
        <v>45717</v>
      </c>
      <c r="C52" s="5" t="s">
        <v>24</v>
      </c>
      <c r="D52" s="5" t="s">
        <v>32</v>
      </c>
      <c r="E52" s="5">
        <v>48287.85</v>
      </c>
      <c r="F52" s="5">
        <v>5150</v>
      </c>
      <c r="G52" s="5">
        <v>8.0000000000000002E-3</v>
      </c>
      <c r="H52" s="5">
        <v>12</v>
      </c>
      <c r="I52" s="5">
        <v>80.400000000000006</v>
      </c>
      <c r="J52" s="5">
        <v>7.4</v>
      </c>
      <c r="K52" s="5">
        <v>0</v>
      </c>
      <c r="L52" s="5">
        <v>4.5</v>
      </c>
      <c r="M52" s="5">
        <v>625672.86</v>
      </c>
      <c r="N52" s="5">
        <v>118020.12</v>
      </c>
      <c r="O52">
        <f t="shared" si="0"/>
        <v>0</v>
      </c>
      <c r="P52">
        <f t="shared" si="1"/>
        <v>1</v>
      </c>
      <c r="Q52">
        <f t="shared" si="2"/>
        <v>0</v>
      </c>
    </row>
    <row r="53" spans="1:17" x14ac:dyDescent="0.3">
      <c r="A53" s="5" t="s">
        <v>38</v>
      </c>
      <c r="B53" s="6">
        <v>45748</v>
      </c>
      <c r="C53" s="5" t="s">
        <v>24</v>
      </c>
      <c r="D53" s="5" t="s">
        <v>32</v>
      </c>
      <c r="E53" s="5">
        <v>65312.49</v>
      </c>
      <c r="F53" s="5">
        <v>7189</v>
      </c>
      <c r="G53" s="5">
        <v>0.05</v>
      </c>
      <c r="H53" s="5">
        <v>19</v>
      </c>
      <c r="I53" s="5">
        <v>93.7</v>
      </c>
      <c r="J53" s="5">
        <v>7.16</v>
      </c>
      <c r="K53" s="5">
        <v>0</v>
      </c>
      <c r="L53" s="5">
        <v>4.5999999999999996</v>
      </c>
      <c r="M53" s="5">
        <v>773815.14</v>
      </c>
      <c r="N53" s="5">
        <v>133948.39000000001</v>
      </c>
      <c r="O53">
        <f t="shared" si="0"/>
        <v>0</v>
      </c>
      <c r="P53">
        <f t="shared" si="1"/>
        <v>1</v>
      </c>
      <c r="Q53">
        <f t="shared" si="2"/>
        <v>0</v>
      </c>
    </row>
    <row r="54" spans="1:17" x14ac:dyDescent="0.3">
      <c r="A54" s="5" t="s">
        <v>39</v>
      </c>
      <c r="B54" s="6">
        <v>45658</v>
      </c>
      <c r="C54" s="5" t="s">
        <v>31</v>
      </c>
      <c r="D54" s="5" t="s">
        <v>22</v>
      </c>
      <c r="E54" s="5">
        <v>53015.46</v>
      </c>
      <c r="F54" s="5">
        <v>3279</v>
      </c>
      <c r="G54" s="5">
        <v>8.6999999999999994E-2</v>
      </c>
      <c r="H54" s="5">
        <v>9</v>
      </c>
      <c r="I54" s="5">
        <v>84.3</v>
      </c>
      <c r="J54" s="5">
        <v>22.02</v>
      </c>
      <c r="K54" s="5">
        <v>0</v>
      </c>
      <c r="L54" s="5">
        <v>3.9</v>
      </c>
      <c r="M54" s="5">
        <v>463534.25</v>
      </c>
      <c r="N54" s="5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 x14ac:dyDescent="0.3">
      <c r="A55" s="5" t="s">
        <v>39</v>
      </c>
      <c r="B55" s="6">
        <v>45689</v>
      </c>
      <c r="C55" s="5" t="s">
        <v>31</v>
      </c>
      <c r="D55" s="5" t="s">
        <v>22</v>
      </c>
      <c r="E55" s="5">
        <v>99874.01</v>
      </c>
      <c r="F55" s="5">
        <v>5887</v>
      </c>
      <c r="G55" s="5">
        <v>0.26200000000000001</v>
      </c>
      <c r="H55" s="5">
        <v>14</v>
      </c>
      <c r="I55" s="5">
        <v>88.7</v>
      </c>
      <c r="J55" s="5">
        <v>6.18</v>
      </c>
      <c r="K55" s="5">
        <v>0</v>
      </c>
      <c r="L55" s="5">
        <v>4.7</v>
      </c>
      <c r="M55" s="5">
        <v>746677.75</v>
      </c>
      <c r="N55" s="5">
        <v>122437.84</v>
      </c>
      <c r="O55">
        <f t="shared" si="0"/>
        <v>0</v>
      </c>
      <c r="P55">
        <f t="shared" si="1"/>
        <v>0</v>
      </c>
      <c r="Q55">
        <f t="shared" si="2"/>
        <v>1</v>
      </c>
    </row>
    <row r="56" spans="1:17" x14ac:dyDescent="0.3">
      <c r="A56" s="5" t="s">
        <v>39</v>
      </c>
      <c r="B56" s="6">
        <v>45717</v>
      </c>
      <c r="C56" s="5" t="s">
        <v>31</v>
      </c>
      <c r="D56" s="5" t="s">
        <v>22</v>
      </c>
      <c r="E56" s="5">
        <v>81195.5</v>
      </c>
      <c r="F56" s="5">
        <v>5516</v>
      </c>
      <c r="G56" s="5">
        <v>0.106</v>
      </c>
      <c r="H56" s="5">
        <v>14</v>
      </c>
      <c r="I56" s="5">
        <v>88</v>
      </c>
      <c r="J56" s="5">
        <v>1.76</v>
      </c>
      <c r="K56" s="5">
        <v>0</v>
      </c>
      <c r="L56" s="5">
        <v>4.3</v>
      </c>
      <c r="M56" s="5">
        <v>720852.5</v>
      </c>
      <c r="N56" s="5">
        <v>98565.62</v>
      </c>
      <c r="O56">
        <f t="shared" si="0"/>
        <v>0</v>
      </c>
      <c r="P56">
        <f t="shared" si="1"/>
        <v>0</v>
      </c>
      <c r="Q56">
        <f t="shared" si="2"/>
        <v>1</v>
      </c>
    </row>
    <row r="57" spans="1:17" x14ac:dyDescent="0.3">
      <c r="A57" s="5" t="s">
        <v>39</v>
      </c>
      <c r="B57" s="6">
        <v>45748</v>
      </c>
      <c r="C57" s="5" t="s">
        <v>31</v>
      </c>
      <c r="D57" s="5" t="s">
        <v>22</v>
      </c>
      <c r="E57" s="5">
        <v>27808.6</v>
      </c>
      <c r="F57" s="5">
        <v>2863</v>
      </c>
      <c r="G57" s="5">
        <v>0.08</v>
      </c>
      <c r="H57" s="5">
        <v>13</v>
      </c>
      <c r="I57" s="5">
        <v>89.3</v>
      </c>
      <c r="J57" s="5">
        <v>0.47</v>
      </c>
      <c r="K57" s="5">
        <v>0</v>
      </c>
      <c r="L57" s="5">
        <v>4.0999999999999996</v>
      </c>
      <c r="M57" s="5">
        <v>487464.91</v>
      </c>
      <c r="N57" s="5">
        <v>64562.26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 x14ac:dyDescent="0.3">
      <c r="A58" s="5" t="s">
        <v>40</v>
      </c>
      <c r="B58" s="6">
        <v>45658</v>
      </c>
      <c r="C58" s="5" t="s">
        <v>16</v>
      </c>
      <c r="D58" s="5" t="s">
        <v>25</v>
      </c>
      <c r="E58" s="5">
        <v>19365.060000000001</v>
      </c>
      <c r="F58" s="5">
        <v>2378</v>
      </c>
      <c r="G58" s="5">
        <v>0</v>
      </c>
      <c r="H58" s="5">
        <v>12</v>
      </c>
      <c r="I58" s="5">
        <v>94.8</v>
      </c>
      <c r="J58" s="5">
        <v>0.2</v>
      </c>
      <c r="K58" s="5">
        <v>0</v>
      </c>
      <c r="L58" s="5">
        <v>3.5</v>
      </c>
      <c r="M58" s="5">
        <v>518049.26</v>
      </c>
      <c r="N58" s="5">
        <v>108592.49</v>
      </c>
      <c r="O58">
        <f t="shared" si="0"/>
        <v>1</v>
      </c>
      <c r="P58">
        <f t="shared" si="1"/>
        <v>0</v>
      </c>
      <c r="Q58">
        <f t="shared" si="2"/>
        <v>0</v>
      </c>
    </row>
    <row r="59" spans="1:17" x14ac:dyDescent="0.3">
      <c r="A59" s="5" t="s">
        <v>40</v>
      </c>
      <c r="B59" s="6">
        <v>45689</v>
      </c>
      <c r="C59" s="5" t="s">
        <v>16</v>
      </c>
      <c r="D59" s="5" t="s">
        <v>25</v>
      </c>
      <c r="E59" s="5">
        <v>59405.68</v>
      </c>
      <c r="F59" s="5">
        <v>2515</v>
      </c>
      <c r="G59" s="5">
        <v>3.9E-2</v>
      </c>
      <c r="H59" s="5">
        <v>12</v>
      </c>
      <c r="I59" s="5">
        <v>76</v>
      </c>
      <c r="J59" s="5">
        <v>5.1100000000000003</v>
      </c>
      <c r="K59" s="5">
        <v>0</v>
      </c>
      <c r="L59" s="5">
        <v>3.7</v>
      </c>
      <c r="M59" s="5">
        <v>500298.48</v>
      </c>
      <c r="N59" s="5">
        <v>73461.320000000007</v>
      </c>
      <c r="O59">
        <f t="shared" si="0"/>
        <v>1</v>
      </c>
      <c r="P59">
        <f t="shared" si="1"/>
        <v>0</v>
      </c>
      <c r="Q59">
        <f t="shared" si="2"/>
        <v>0</v>
      </c>
    </row>
    <row r="60" spans="1:17" x14ac:dyDescent="0.3">
      <c r="A60" s="5" t="s">
        <v>40</v>
      </c>
      <c r="B60" s="6">
        <v>45717</v>
      </c>
      <c r="C60" s="5" t="s">
        <v>16</v>
      </c>
      <c r="D60" s="5" t="s">
        <v>25</v>
      </c>
      <c r="E60" s="5">
        <v>118910.48</v>
      </c>
      <c r="F60" s="5">
        <v>4022</v>
      </c>
      <c r="G60" s="5">
        <v>0.13700000000000001</v>
      </c>
      <c r="H60" s="5">
        <v>11</v>
      </c>
      <c r="I60" s="5">
        <v>87.1</v>
      </c>
      <c r="J60" s="5">
        <v>0.2</v>
      </c>
      <c r="K60" s="5">
        <v>0</v>
      </c>
      <c r="L60" s="5">
        <v>3.1</v>
      </c>
      <c r="M60" s="5">
        <v>617291.15</v>
      </c>
      <c r="N60" s="5">
        <v>117782</v>
      </c>
      <c r="O60">
        <f t="shared" si="0"/>
        <v>1</v>
      </c>
      <c r="P60">
        <f t="shared" si="1"/>
        <v>0</v>
      </c>
      <c r="Q60">
        <f t="shared" si="2"/>
        <v>0</v>
      </c>
    </row>
    <row r="61" spans="1:17" x14ac:dyDescent="0.3">
      <c r="A61" s="5" t="s">
        <v>40</v>
      </c>
      <c r="B61" s="6">
        <v>45748</v>
      </c>
      <c r="C61" s="5" t="s">
        <v>16</v>
      </c>
      <c r="D61" s="5" t="s">
        <v>25</v>
      </c>
      <c r="E61" s="5">
        <v>52952.12</v>
      </c>
      <c r="F61" s="5">
        <v>4377</v>
      </c>
      <c r="G61" s="5">
        <v>9.1999999999999998E-2</v>
      </c>
      <c r="H61" s="5">
        <v>14</v>
      </c>
      <c r="I61" s="5">
        <v>88.6</v>
      </c>
      <c r="J61" s="5">
        <v>13.59</v>
      </c>
      <c r="K61" s="5">
        <v>0</v>
      </c>
      <c r="L61" s="5">
        <v>3.1</v>
      </c>
      <c r="M61" s="5">
        <v>553756.43000000005</v>
      </c>
      <c r="N61" s="5">
        <v>86166.77</v>
      </c>
      <c r="O61">
        <f t="shared" si="0"/>
        <v>1</v>
      </c>
      <c r="P61">
        <f t="shared" si="1"/>
        <v>0</v>
      </c>
      <c r="Q61">
        <f t="shared" si="2"/>
        <v>0</v>
      </c>
    </row>
    <row r="62" spans="1:17" x14ac:dyDescent="0.3">
      <c r="A62" s="5" t="s">
        <v>41</v>
      </c>
      <c r="B62" s="6">
        <v>45658</v>
      </c>
      <c r="C62" s="5" t="s">
        <v>28</v>
      </c>
      <c r="D62" s="5" t="s">
        <v>22</v>
      </c>
      <c r="E62" s="5">
        <v>74907.98</v>
      </c>
      <c r="F62" s="5">
        <v>5306</v>
      </c>
      <c r="G62" s="5">
        <v>6.2E-2</v>
      </c>
      <c r="H62" s="5">
        <v>16</v>
      </c>
      <c r="I62" s="5">
        <v>95.6</v>
      </c>
      <c r="J62" s="5">
        <v>1.02</v>
      </c>
      <c r="K62" s="5">
        <v>0</v>
      </c>
      <c r="L62" s="5">
        <v>3.7</v>
      </c>
      <c r="M62" s="5">
        <v>749559.71</v>
      </c>
      <c r="N62" s="5">
        <v>144522.53</v>
      </c>
      <c r="O62">
        <f t="shared" si="0"/>
        <v>0</v>
      </c>
      <c r="P62">
        <f t="shared" si="1"/>
        <v>0</v>
      </c>
      <c r="Q62">
        <f t="shared" si="2"/>
        <v>0</v>
      </c>
    </row>
    <row r="63" spans="1:17" x14ac:dyDescent="0.3">
      <c r="A63" s="5" t="s">
        <v>41</v>
      </c>
      <c r="B63" s="6">
        <v>45689</v>
      </c>
      <c r="C63" s="5" t="s">
        <v>28</v>
      </c>
      <c r="D63" s="5" t="s">
        <v>22</v>
      </c>
      <c r="E63" s="5">
        <v>37284.660000000003</v>
      </c>
      <c r="F63" s="5">
        <v>3928</v>
      </c>
      <c r="G63" s="5">
        <v>7.3999999999999996E-2</v>
      </c>
      <c r="H63" s="5">
        <v>12</v>
      </c>
      <c r="I63" s="5">
        <v>86.5</v>
      </c>
      <c r="J63" s="5">
        <v>1.64</v>
      </c>
      <c r="K63" s="5">
        <v>0</v>
      </c>
      <c r="L63" s="5">
        <v>3.8</v>
      </c>
      <c r="M63" s="5">
        <v>615966.48</v>
      </c>
      <c r="N63" s="5">
        <v>91509.38</v>
      </c>
      <c r="O63">
        <f t="shared" si="0"/>
        <v>0</v>
      </c>
      <c r="P63">
        <f t="shared" si="1"/>
        <v>0</v>
      </c>
      <c r="Q63">
        <f t="shared" si="2"/>
        <v>0</v>
      </c>
    </row>
    <row r="64" spans="1:17" x14ac:dyDescent="0.3">
      <c r="A64" s="5" t="s">
        <v>41</v>
      </c>
      <c r="B64" s="6">
        <v>45717</v>
      </c>
      <c r="C64" s="5" t="s">
        <v>28</v>
      </c>
      <c r="D64" s="5" t="s">
        <v>22</v>
      </c>
      <c r="E64" s="5">
        <v>50343.19</v>
      </c>
      <c r="F64" s="5">
        <v>3845</v>
      </c>
      <c r="G64" s="5">
        <v>0.113</v>
      </c>
      <c r="H64" s="5">
        <v>9</v>
      </c>
      <c r="I64" s="5">
        <v>88.7</v>
      </c>
      <c r="J64" s="5">
        <v>5.15</v>
      </c>
      <c r="K64" s="5">
        <v>0</v>
      </c>
      <c r="L64" s="5">
        <v>3.3</v>
      </c>
      <c r="M64" s="5">
        <v>572011.19999999995</v>
      </c>
      <c r="N64" s="5">
        <v>101409.68</v>
      </c>
      <c r="O64">
        <f t="shared" si="0"/>
        <v>0</v>
      </c>
      <c r="P64">
        <f t="shared" si="1"/>
        <v>0</v>
      </c>
      <c r="Q64">
        <f t="shared" si="2"/>
        <v>0</v>
      </c>
    </row>
    <row r="65" spans="1:17" x14ac:dyDescent="0.3">
      <c r="A65" s="5" t="s">
        <v>41</v>
      </c>
      <c r="B65" s="6">
        <v>45748</v>
      </c>
      <c r="C65" s="5" t="s">
        <v>28</v>
      </c>
      <c r="D65" s="5" t="s">
        <v>22</v>
      </c>
      <c r="E65" s="5">
        <v>74954.47</v>
      </c>
      <c r="F65" s="5">
        <v>6620</v>
      </c>
      <c r="G65" s="5">
        <v>5.3999999999999999E-2</v>
      </c>
      <c r="H65" s="5">
        <v>17</v>
      </c>
      <c r="I65" s="5">
        <v>91.1</v>
      </c>
      <c r="J65" s="5">
        <v>1.1100000000000001</v>
      </c>
      <c r="K65" s="5">
        <v>0</v>
      </c>
      <c r="L65" s="5">
        <v>3.5</v>
      </c>
      <c r="M65" s="5">
        <v>761860.19</v>
      </c>
      <c r="N65" s="5">
        <v>133279.38</v>
      </c>
      <c r="O65">
        <f t="shared" si="0"/>
        <v>0</v>
      </c>
      <c r="P65">
        <f t="shared" si="1"/>
        <v>0</v>
      </c>
      <c r="Q65">
        <f t="shared" si="2"/>
        <v>0</v>
      </c>
    </row>
    <row r="66" spans="1:17" x14ac:dyDescent="0.3">
      <c r="A66" s="5" t="s">
        <v>42</v>
      </c>
      <c r="B66" s="6">
        <v>45658</v>
      </c>
      <c r="C66" s="5" t="s">
        <v>31</v>
      </c>
      <c r="D66" s="5" t="s">
        <v>22</v>
      </c>
      <c r="E66" s="5">
        <v>70040.31</v>
      </c>
      <c r="F66" s="5">
        <v>9175</v>
      </c>
      <c r="G66" s="5">
        <v>0.107</v>
      </c>
      <c r="H66" s="5">
        <v>23</v>
      </c>
      <c r="I66" s="5">
        <v>95.1</v>
      </c>
      <c r="J66" s="5">
        <v>6.08</v>
      </c>
      <c r="K66" s="5">
        <v>1</v>
      </c>
      <c r="L66" s="5">
        <v>3.4</v>
      </c>
      <c r="M66" s="5">
        <v>784502.68</v>
      </c>
      <c r="N66" s="5">
        <v>129519.72</v>
      </c>
      <c r="O66">
        <f t="shared" si="0"/>
        <v>0</v>
      </c>
      <c r="P66">
        <f t="shared" si="1"/>
        <v>0</v>
      </c>
      <c r="Q66">
        <f t="shared" si="2"/>
        <v>1</v>
      </c>
    </row>
    <row r="67" spans="1:17" x14ac:dyDescent="0.3">
      <c r="A67" s="5" t="s">
        <v>42</v>
      </c>
      <c r="B67" s="6">
        <v>45689</v>
      </c>
      <c r="C67" s="5" t="s">
        <v>31</v>
      </c>
      <c r="D67" s="5" t="s">
        <v>22</v>
      </c>
      <c r="E67" s="5">
        <v>51148.69</v>
      </c>
      <c r="F67" s="5">
        <v>7940</v>
      </c>
      <c r="G67" s="5">
        <v>0.156</v>
      </c>
      <c r="H67" s="5">
        <v>18</v>
      </c>
      <c r="I67" s="5">
        <v>93.3</v>
      </c>
      <c r="J67" s="5">
        <v>10.91</v>
      </c>
      <c r="K67" s="5">
        <v>0</v>
      </c>
      <c r="L67" s="5">
        <v>3.6</v>
      </c>
      <c r="M67" s="5">
        <v>717141.55</v>
      </c>
      <c r="N67" s="5">
        <v>134013.60999999999</v>
      </c>
      <c r="O67">
        <f t="shared" ref="O67:O130" si="3">IF(C67="East",1,0)</f>
        <v>0</v>
      </c>
      <c r="P67">
        <f t="shared" ref="P67:P130" si="4">IF(C67="North",1,0)</f>
        <v>0</v>
      </c>
      <c r="Q67">
        <f t="shared" ref="Q67:Q130" si="5">IF(C67="west",1,0)</f>
        <v>1</v>
      </c>
    </row>
    <row r="68" spans="1:17" x14ac:dyDescent="0.3">
      <c r="A68" s="5" t="s">
        <v>42</v>
      </c>
      <c r="B68" s="6">
        <v>45717</v>
      </c>
      <c r="C68" s="5" t="s">
        <v>31</v>
      </c>
      <c r="D68" s="5" t="s">
        <v>22</v>
      </c>
      <c r="E68" s="5">
        <v>79346.100000000006</v>
      </c>
      <c r="F68" s="5">
        <v>9628</v>
      </c>
      <c r="G68" s="5">
        <v>0.10199999999999999</v>
      </c>
      <c r="H68" s="5">
        <v>20</v>
      </c>
      <c r="I68" s="5">
        <v>99</v>
      </c>
      <c r="J68" s="5">
        <v>19.010000000000002</v>
      </c>
      <c r="K68" s="5">
        <v>1</v>
      </c>
      <c r="L68" s="5">
        <v>3.2</v>
      </c>
      <c r="M68" s="5">
        <v>685379.08</v>
      </c>
      <c r="N68" s="5">
        <v>106898.82</v>
      </c>
      <c r="O68">
        <f t="shared" si="3"/>
        <v>0</v>
      </c>
      <c r="P68">
        <f t="shared" si="4"/>
        <v>0</v>
      </c>
      <c r="Q68">
        <f t="shared" si="5"/>
        <v>1</v>
      </c>
    </row>
    <row r="69" spans="1:17" x14ac:dyDescent="0.3">
      <c r="A69" s="5" t="s">
        <v>42</v>
      </c>
      <c r="B69" s="6">
        <v>45748</v>
      </c>
      <c r="C69" s="5" t="s">
        <v>31</v>
      </c>
      <c r="D69" s="5" t="s">
        <v>22</v>
      </c>
      <c r="E69" s="5">
        <v>42018.400000000001</v>
      </c>
      <c r="F69" s="5">
        <v>8296</v>
      </c>
      <c r="G69" s="5">
        <v>0.115</v>
      </c>
      <c r="H69" s="5">
        <v>17</v>
      </c>
      <c r="I69" s="5">
        <v>91.8</v>
      </c>
      <c r="J69" s="5">
        <v>0.77</v>
      </c>
      <c r="K69" s="5">
        <v>0</v>
      </c>
      <c r="L69" s="5">
        <v>3.4</v>
      </c>
      <c r="M69" s="5">
        <v>740496.65</v>
      </c>
      <c r="N69" s="5">
        <v>128020.9</v>
      </c>
      <c r="O69">
        <f t="shared" si="3"/>
        <v>0</v>
      </c>
      <c r="P69">
        <f t="shared" si="4"/>
        <v>0</v>
      </c>
      <c r="Q69">
        <f t="shared" si="5"/>
        <v>1</v>
      </c>
    </row>
    <row r="70" spans="1:17" x14ac:dyDescent="0.3">
      <c r="A70" s="5" t="s">
        <v>43</v>
      </c>
      <c r="B70" s="6">
        <v>45658</v>
      </c>
      <c r="C70" s="5" t="s">
        <v>16</v>
      </c>
      <c r="D70" s="5" t="s">
        <v>22</v>
      </c>
      <c r="E70" s="5">
        <v>70937.240000000005</v>
      </c>
      <c r="F70" s="5">
        <v>3595</v>
      </c>
      <c r="G70" s="5">
        <v>0.14099999999999999</v>
      </c>
      <c r="H70" s="5">
        <v>11</v>
      </c>
      <c r="I70" s="5">
        <v>88.9</v>
      </c>
      <c r="J70" s="5">
        <v>2.83</v>
      </c>
      <c r="K70" s="5">
        <v>1</v>
      </c>
      <c r="L70" s="5">
        <v>3.3</v>
      </c>
      <c r="M70" s="5">
        <v>661927.14</v>
      </c>
      <c r="N70" s="5">
        <v>79218.570000000007</v>
      </c>
      <c r="O70">
        <f t="shared" si="3"/>
        <v>1</v>
      </c>
      <c r="P70">
        <f t="shared" si="4"/>
        <v>0</v>
      </c>
      <c r="Q70">
        <f t="shared" si="5"/>
        <v>0</v>
      </c>
    </row>
    <row r="71" spans="1:17" x14ac:dyDescent="0.3">
      <c r="A71" s="5" t="s">
        <v>43</v>
      </c>
      <c r="B71" s="6">
        <v>45689</v>
      </c>
      <c r="C71" s="5" t="s">
        <v>16</v>
      </c>
      <c r="D71" s="5" t="s">
        <v>22</v>
      </c>
      <c r="E71" s="5">
        <v>36813.449999999997</v>
      </c>
      <c r="F71" s="5">
        <v>2834</v>
      </c>
      <c r="G71" s="5">
        <v>0.191</v>
      </c>
      <c r="H71" s="5">
        <v>11</v>
      </c>
      <c r="I71" s="5">
        <v>81.8</v>
      </c>
      <c r="J71" s="5">
        <v>2.33</v>
      </c>
      <c r="K71" s="5">
        <v>0</v>
      </c>
      <c r="L71" s="5">
        <v>3.3</v>
      </c>
      <c r="M71" s="5">
        <v>479050.5</v>
      </c>
      <c r="N71" s="5">
        <v>53651.11</v>
      </c>
      <c r="O71">
        <f t="shared" si="3"/>
        <v>1</v>
      </c>
      <c r="P71">
        <f t="shared" si="4"/>
        <v>0</v>
      </c>
      <c r="Q71">
        <f t="shared" si="5"/>
        <v>0</v>
      </c>
    </row>
    <row r="72" spans="1:17" x14ac:dyDescent="0.3">
      <c r="A72" s="5" t="s">
        <v>43</v>
      </c>
      <c r="B72" s="6">
        <v>45717</v>
      </c>
      <c r="C72" s="5" t="s">
        <v>16</v>
      </c>
      <c r="D72" s="5" t="s">
        <v>22</v>
      </c>
      <c r="E72" s="5">
        <v>60571.82</v>
      </c>
      <c r="F72" s="5">
        <v>3193</v>
      </c>
      <c r="G72" s="5">
        <v>0.19700000000000001</v>
      </c>
      <c r="H72" s="5">
        <v>7</v>
      </c>
      <c r="I72" s="5">
        <v>99</v>
      </c>
      <c r="J72" s="5">
        <v>1.43</v>
      </c>
      <c r="K72" s="5">
        <v>0</v>
      </c>
      <c r="L72" s="5">
        <v>3.2</v>
      </c>
      <c r="M72" s="5">
        <v>605023.87</v>
      </c>
      <c r="N72" s="5">
        <v>98545.81</v>
      </c>
      <c r="O72">
        <f t="shared" si="3"/>
        <v>1</v>
      </c>
      <c r="P72">
        <f t="shared" si="4"/>
        <v>0</v>
      </c>
      <c r="Q72">
        <f t="shared" si="5"/>
        <v>0</v>
      </c>
    </row>
    <row r="73" spans="1:17" x14ac:dyDescent="0.3">
      <c r="A73" s="5" t="s">
        <v>43</v>
      </c>
      <c r="B73" s="6">
        <v>45748</v>
      </c>
      <c r="C73" s="5" t="s">
        <v>16</v>
      </c>
      <c r="D73" s="5" t="s">
        <v>22</v>
      </c>
      <c r="E73" s="5">
        <v>55081.16</v>
      </c>
      <c r="F73" s="5">
        <v>5485</v>
      </c>
      <c r="G73" s="5">
        <v>3.5999999999999997E-2</v>
      </c>
      <c r="H73" s="5">
        <v>12</v>
      </c>
      <c r="I73" s="5">
        <v>88</v>
      </c>
      <c r="J73">
        <v>4.5590450000000002</v>
      </c>
      <c r="K73" s="5">
        <v>0</v>
      </c>
      <c r="L73" s="5">
        <v>3.5</v>
      </c>
      <c r="M73" s="5">
        <v>674774.09</v>
      </c>
      <c r="N73" s="5">
        <v>141917.59</v>
      </c>
      <c r="O73">
        <f t="shared" si="3"/>
        <v>1</v>
      </c>
      <c r="P73">
        <f t="shared" si="4"/>
        <v>0</v>
      </c>
      <c r="Q73">
        <f t="shared" si="5"/>
        <v>0</v>
      </c>
    </row>
    <row r="74" spans="1:17" x14ac:dyDescent="0.3">
      <c r="A74" s="5" t="s">
        <v>44</v>
      </c>
      <c r="B74" s="6">
        <v>45658</v>
      </c>
      <c r="C74" s="5" t="s">
        <v>16</v>
      </c>
      <c r="D74" s="5" t="s">
        <v>17</v>
      </c>
      <c r="E74" s="5">
        <v>46201.46</v>
      </c>
      <c r="F74" s="5">
        <v>5918</v>
      </c>
      <c r="G74" s="5">
        <v>0.27700000000000002</v>
      </c>
      <c r="H74" s="5">
        <v>13</v>
      </c>
      <c r="I74" s="5">
        <v>78.8</v>
      </c>
      <c r="J74" s="5">
        <v>4.91</v>
      </c>
      <c r="K74" s="5">
        <v>0</v>
      </c>
      <c r="L74" s="5">
        <v>4.5</v>
      </c>
      <c r="M74" s="5">
        <v>616069.41</v>
      </c>
      <c r="N74" s="5">
        <v>54453.99</v>
      </c>
      <c r="O74">
        <f t="shared" si="3"/>
        <v>1</v>
      </c>
      <c r="P74">
        <f t="shared" si="4"/>
        <v>0</v>
      </c>
      <c r="Q74">
        <f t="shared" si="5"/>
        <v>0</v>
      </c>
    </row>
    <row r="75" spans="1:17" x14ac:dyDescent="0.3">
      <c r="A75" s="5" t="s">
        <v>44</v>
      </c>
      <c r="B75" s="6">
        <v>45689</v>
      </c>
      <c r="C75" s="5" t="s">
        <v>16</v>
      </c>
      <c r="D75" s="5" t="s">
        <v>17</v>
      </c>
      <c r="E75" s="5">
        <v>53762.92</v>
      </c>
      <c r="F75" s="5">
        <v>6821</v>
      </c>
      <c r="G75" s="5">
        <v>6.6000000000000003E-2</v>
      </c>
      <c r="H75" s="5">
        <v>19</v>
      </c>
      <c r="I75" s="5">
        <v>94.6</v>
      </c>
      <c r="J75" s="5">
        <v>7.03</v>
      </c>
      <c r="K75" s="5">
        <v>0</v>
      </c>
      <c r="L75" s="5">
        <v>4.4000000000000004</v>
      </c>
      <c r="M75" s="5">
        <v>630829.93999999994</v>
      </c>
      <c r="N75" s="5">
        <v>117090.02</v>
      </c>
      <c r="O75">
        <f t="shared" si="3"/>
        <v>1</v>
      </c>
      <c r="P75">
        <f t="shared" si="4"/>
        <v>0</v>
      </c>
      <c r="Q75">
        <f t="shared" si="5"/>
        <v>0</v>
      </c>
    </row>
    <row r="76" spans="1:17" x14ac:dyDescent="0.3">
      <c r="A76" s="5" t="s">
        <v>44</v>
      </c>
      <c r="B76" s="6">
        <v>45717</v>
      </c>
      <c r="C76" s="5" t="s">
        <v>16</v>
      </c>
      <c r="D76" s="5" t="s">
        <v>17</v>
      </c>
      <c r="E76" s="5">
        <v>70144.78</v>
      </c>
      <c r="F76" s="5">
        <v>6806</v>
      </c>
      <c r="G76" s="5">
        <v>0.17799999999999999</v>
      </c>
      <c r="H76" s="5">
        <v>20</v>
      </c>
      <c r="I76" s="5">
        <v>93.1</v>
      </c>
      <c r="J76" s="5">
        <v>0.28000000000000003</v>
      </c>
      <c r="K76" s="5">
        <v>1</v>
      </c>
      <c r="L76" s="5">
        <v>4.3</v>
      </c>
      <c r="M76" s="5">
        <v>788087.68</v>
      </c>
      <c r="N76" s="5">
        <v>116803.42</v>
      </c>
      <c r="O76">
        <f t="shared" si="3"/>
        <v>1</v>
      </c>
      <c r="P76">
        <f t="shared" si="4"/>
        <v>0</v>
      </c>
      <c r="Q76">
        <f t="shared" si="5"/>
        <v>0</v>
      </c>
    </row>
    <row r="77" spans="1:17" x14ac:dyDescent="0.3">
      <c r="A77" s="5" t="s">
        <v>44</v>
      </c>
      <c r="B77" s="6">
        <v>45748</v>
      </c>
      <c r="C77" s="5" t="s">
        <v>16</v>
      </c>
      <c r="D77" s="5" t="s">
        <v>17</v>
      </c>
      <c r="E77" s="5">
        <v>58749.63</v>
      </c>
      <c r="F77" s="5">
        <v>8252</v>
      </c>
      <c r="G77" s="5">
        <v>0.20300000000000001</v>
      </c>
      <c r="H77" s="5">
        <v>20</v>
      </c>
      <c r="I77" s="5">
        <v>85.2</v>
      </c>
      <c r="J77" s="5">
        <v>3.61</v>
      </c>
      <c r="K77" s="5">
        <v>0</v>
      </c>
      <c r="L77" s="5">
        <v>4.5</v>
      </c>
      <c r="M77" s="5">
        <v>680840.36</v>
      </c>
      <c r="N77" s="5">
        <v>68007.679999999993</v>
      </c>
      <c r="O77">
        <f t="shared" si="3"/>
        <v>1</v>
      </c>
      <c r="P77">
        <f t="shared" si="4"/>
        <v>0</v>
      </c>
      <c r="Q77">
        <f t="shared" si="5"/>
        <v>0</v>
      </c>
    </row>
    <row r="78" spans="1:17" x14ac:dyDescent="0.3">
      <c r="A78" s="5" t="s">
        <v>45</v>
      </c>
      <c r="B78" s="6">
        <v>45658</v>
      </c>
      <c r="C78" s="5" t="s">
        <v>28</v>
      </c>
      <c r="D78" s="5" t="s">
        <v>22</v>
      </c>
      <c r="E78" s="5">
        <v>56973.18</v>
      </c>
      <c r="F78" s="5">
        <v>6662</v>
      </c>
      <c r="G78" s="5">
        <v>0.1</v>
      </c>
      <c r="H78" s="5">
        <v>15</v>
      </c>
      <c r="I78" s="5">
        <v>77.7</v>
      </c>
      <c r="J78" s="5">
        <v>7.52</v>
      </c>
      <c r="K78" s="5">
        <v>1</v>
      </c>
      <c r="L78" s="5">
        <v>3.2</v>
      </c>
      <c r="M78" s="5">
        <v>643657.47</v>
      </c>
      <c r="N78" s="5">
        <v>87022.45</v>
      </c>
      <c r="O78">
        <f t="shared" si="3"/>
        <v>0</v>
      </c>
      <c r="P78">
        <f t="shared" si="4"/>
        <v>0</v>
      </c>
      <c r="Q78">
        <f t="shared" si="5"/>
        <v>0</v>
      </c>
    </row>
    <row r="79" spans="1:17" x14ac:dyDescent="0.3">
      <c r="A79" s="5" t="s">
        <v>45</v>
      </c>
      <c r="B79" s="6">
        <v>45689</v>
      </c>
      <c r="C79" s="5" t="s">
        <v>28</v>
      </c>
      <c r="D79" s="5" t="s">
        <v>22</v>
      </c>
      <c r="E79" s="5">
        <v>54872.82</v>
      </c>
      <c r="F79" s="5">
        <v>5962</v>
      </c>
      <c r="G79" s="5">
        <v>6.4000000000000001E-2</v>
      </c>
      <c r="H79" s="5">
        <v>12</v>
      </c>
      <c r="I79" s="5">
        <v>85.4</v>
      </c>
      <c r="J79" s="5">
        <v>2.58</v>
      </c>
      <c r="K79" s="5">
        <v>0</v>
      </c>
      <c r="L79" s="5">
        <v>2.9</v>
      </c>
      <c r="M79" s="5">
        <v>691112.6</v>
      </c>
      <c r="N79" s="5">
        <v>109212.83</v>
      </c>
      <c r="O79">
        <f t="shared" si="3"/>
        <v>0</v>
      </c>
      <c r="P79">
        <f t="shared" si="4"/>
        <v>0</v>
      </c>
      <c r="Q79">
        <f t="shared" si="5"/>
        <v>0</v>
      </c>
    </row>
    <row r="80" spans="1:17" x14ac:dyDescent="0.3">
      <c r="A80" s="5" t="s">
        <v>45</v>
      </c>
      <c r="B80" s="6">
        <v>45717</v>
      </c>
      <c r="C80" s="5" t="s">
        <v>28</v>
      </c>
      <c r="D80" s="5" t="s">
        <v>22</v>
      </c>
      <c r="E80" s="5">
        <v>80562.81</v>
      </c>
      <c r="F80" s="5">
        <v>7470</v>
      </c>
      <c r="G80" s="5">
        <v>0.17199999999999999</v>
      </c>
      <c r="H80" s="5">
        <v>16</v>
      </c>
      <c r="I80" s="5">
        <v>83.5</v>
      </c>
      <c r="J80" s="5">
        <v>2.29</v>
      </c>
      <c r="K80" s="5">
        <v>0</v>
      </c>
      <c r="L80" s="5">
        <v>3.3</v>
      </c>
      <c r="M80" s="5">
        <v>776922.17</v>
      </c>
      <c r="N80" s="5">
        <v>150701.93</v>
      </c>
      <c r="O80">
        <f t="shared" si="3"/>
        <v>0</v>
      </c>
      <c r="P80">
        <f t="shared" si="4"/>
        <v>0</v>
      </c>
      <c r="Q80">
        <f t="shared" si="5"/>
        <v>0</v>
      </c>
    </row>
    <row r="81" spans="1:17" x14ac:dyDescent="0.3">
      <c r="A81" s="5" t="s">
        <v>45</v>
      </c>
      <c r="B81" s="6">
        <v>45748</v>
      </c>
      <c r="C81" s="5" t="s">
        <v>28</v>
      </c>
      <c r="D81" s="5" t="s">
        <v>22</v>
      </c>
      <c r="E81" s="5">
        <v>77999.899999999994</v>
      </c>
      <c r="F81" s="5">
        <v>5974</v>
      </c>
      <c r="G81" s="5">
        <v>0.252</v>
      </c>
      <c r="H81" s="5">
        <v>14</v>
      </c>
      <c r="I81" s="5">
        <v>81.3</v>
      </c>
      <c r="J81" s="5">
        <v>2.39</v>
      </c>
      <c r="K81" s="5">
        <v>0</v>
      </c>
      <c r="L81" s="5">
        <v>3.2</v>
      </c>
      <c r="M81" s="5">
        <v>636561.34</v>
      </c>
      <c r="N81" s="5">
        <v>93861.06</v>
      </c>
      <c r="O81">
        <f t="shared" si="3"/>
        <v>0</v>
      </c>
      <c r="P81">
        <f t="shared" si="4"/>
        <v>0</v>
      </c>
      <c r="Q81">
        <f t="shared" si="5"/>
        <v>0</v>
      </c>
    </row>
    <row r="82" spans="1:17" x14ac:dyDescent="0.3">
      <c r="A82" s="5" t="s">
        <v>46</v>
      </c>
      <c r="B82" s="6">
        <v>45658</v>
      </c>
      <c r="C82" s="5" t="s">
        <v>31</v>
      </c>
      <c r="D82" s="5" t="s">
        <v>32</v>
      </c>
      <c r="E82" s="5">
        <v>60881.01</v>
      </c>
      <c r="F82" s="5">
        <v>5410</v>
      </c>
      <c r="G82" s="5">
        <v>0.17899999999999999</v>
      </c>
      <c r="H82" s="5">
        <v>15</v>
      </c>
      <c r="I82" s="5">
        <v>83.9</v>
      </c>
      <c r="J82" s="5">
        <v>5.24</v>
      </c>
      <c r="K82" s="5">
        <v>0</v>
      </c>
      <c r="L82" s="5">
        <v>4.5999999999999996</v>
      </c>
      <c r="M82" s="5">
        <v>621369.57999999996</v>
      </c>
      <c r="N82" s="5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 x14ac:dyDescent="0.3">
      <c r="A83" s="5" t="s">
        <v>46</v>
      </c>
      <c r="B83" s="6">
        <v>45689</v>
      </c>
      <c r="C83" s="5" t="s">
        <v>31</v>
      </c>
      <c r="D83" s="5" t="s">
        <v>32</v>
      </c>
      <c r="E83" s="5">
        <v>60628.38</v>
      </c>
      <c r="F83" s="5">
        <v>4451</v>
      </c>
      <c r="G83" s="5">
        <v>9.5000000000000001E-2</v>
      </c>
      <c r="H83" s="5">
        <v>10</v>
      </c>
      <c r="I83" s="5">
        <v>89.6</v>
      </c>
      <c r="J83" s="5">
        <v>3.17</v>
      </c>
      <c r="K83" s="5">
        <v>0</v>
      </c>
      <c r="L83" s="5">
        <v>4.5999999999999996</v>
      </c>
      <c r="M83" s="5">
        <v>682208.01</v>
      </c>
      <c r="N83" s="5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 x14ac:dyDescent="0.3">
      <c r="A84" s="5" t="s">
        <v>46</v>
      </c>
      <c r="B84" s="6">
        <v>45717</v>
      </c>
      <c r="C84" s="5" t="s">
        <v>31</v>
      </c>
      <c r="D84" s="5" t="s">
        <v>32</v>
      </c>
      <c r="E84" s="5">
        <v>72731.14</v>
      </c>
      <c r="F84" s="5">
        <v>4644</v>
      </c>
      <c r="G84" s="5">
        <v>8.4000000000000005E-2</v>
      </c>
      <c r="H84" s="5">
        <v>15</v>
      </c>
      <c r="I84" s="5">
        <v>87.1</v>
      </c>
      <c r="J84" s="5">
        <v>2.66</v>
      </c>
      <c r="K84" s="5">
        <v>0</v>
      </c>
      <c r="L84" s="5">
        <v>4.5999999999999996</v>
      </c>
      <c r="M84" s="5">
        <v>727241.86</v>
      </c>
      <c r="N84" s="5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 x14ac:dyDescent="0.3">
      <c r="A85" s="5" t="s">
        <v>46</v>
      </c>
      <c r="B85" s="6">
        <v>45748</v>
      </c>
      <c r="C85" s="5" t="s">
        <v>31</v>
      </c>
      <c r="D85" s="5" t="s">
        <v>32</v>
      </c>
      <c r="E85" s="5">
        <v>36475.71</v>
      </c>
      <c r="F85" s="5">
        <v>3559</v>
      </c>
      <c r="G85" s="5">
        <v>0.03</v>
      </c>
      <c r="H85" s="5">
        <v>8</v>
      </c>
      <c r="I85" s="5">
        <v>83.6</v>
      </c>
      <c r="J85" s="5">
        <v>1.41</v>
      </c>
      <c r="K85" s="5">
        <v>0</v>
      </c>
      <c r="L85" s="5">
        <v>4.2</v>
      </c>
      <c r="M85" s="5">
        <v>569100.78</v>
      </c>
      <c r="N85" s="5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 x14ac:dyDescent="0.3">
      <c r="A86" s="5" t="s">
        <v>47</v>
      </c>
      <c r="B86" s="6">
        <v>45658</v>
      </c>
      <c r="C86" s="5" t="s">
        <v>31</v>
      </c>
      <c r="D86" s="5" t="s">
        <v>22</v>
      </c>
      <c r="E86" s="5">
        <v>55388.11</v>
      </c>
      <c r="F86" s="5">
        <v>3091</v>
      </c>
      <c r="G86" s="5">
        <v>0.108</v>
      </c>
      <c r="H86" s="5">
        <v>7</v>
      </c>
      <c r="I86" s="5">
        <v>85.4</v>
      </c>
      <c r="J86" s="5">
        <v>7.34</v>
      </c>
      <c r="K86" s="5">
        <v>0</v>
      </c>
      <c r="L86" s="5">
        <v>4.9000000000000004</v>
      </c>
      <c r="M86" s="5">
        <v>574436.29</v>
      </c>
      <c r="N86" s="5">
        <v>80271.990000000005</v>
      </c>
      <c r="O86">
        <f t="shared" si="3"/>
        <v>0</v>
      </c>
      <c r="P86">
        <f t="shared" si="4"/>
        <v>0</v>
      </c>
      <c r="Q86">
        <f t="shared" si="5"/>
        <v>1</v>
      </c>
    </row>
    <row r="87" spans="1:17" x14ac:dyDescent="0.3">
      <c r="A87" s="5" t="s">
        <v>47</v>
      </c>
      <c r="B87" s="6">
        <v>45689</v>
      </c>
      <c r="C87" s="5" t="s">
        <v>31</v>
      </c>
      <c r="D87" s="5" t="s">
        <v>22</v>
      </c>
      <c r="E87" s="5">
        <v>88443.77</v>
      </c>
      <c r="F87" s="5">
        <v>4004</v>
      </c>
      <c r="G87" s="5">
        <v>0.20599999999999999</v>
      </c>
      <c r="H87" s="5">
        <v>11</v>
      </c>
      <c r="I87" s="5">
        <v>91.9</v>
      </c>
      <c r="J87" s="5">
        <v>5.95</v>
      </c>
      <c r="K87" s="5">
        <v>0</v>
      </c>
      <c r="L87" s="5">
        <v>3.9246789999999998</v>
      </c>
      <c r="M87" s="5">
        <v>611766.72</v>
      </c>
      <c r="N87" s="5">
        <v>88275.61</v>
      </c>
      <c r="O87">
        <f t="shared" si="3"/>
        <v>0</v>
      </c>
      <c r="P87">
        <f t="shared" si="4"/>
        <v>0</v>
      </c>
      <c r="Q87">
        <f t="shared" si="5"/>
        <v>1</v>
      </c>
    </row>
    <row r="88" spans="1:17" x14ac:dyDescent="0.3">
      <c r="A88" s="5" t="s">
        <v>47</v>
      </c>
      <c r="B88" s="6">
        <v>45717</v>
      </c>
      <c r="C88" s="5" t="s">
        <v>31</v>
      </c>
      <c r="D88" s="5" t="s">
        <v>22</v>
      </c>
      <c r="E88" s="5">
        <v>78231.91</v>
      </c>
      <c r="F88" s="5">
        <v>3788</v>
      </c>
      <c r="G88" s="5">
        <v>5.8999999999999997E-2</v>
      </c>
      <c r="H88" s="5">
        <v>11</v>
      </c>
      <c r="I88" s="5">
        <v>88.5</v>
      </c>
      <c r="J88" s="5">
        <v>15.51</v>
      </c>
      <c r="K88" s="5">
        <v>0</v>
      </c>
      <c r="L88" s="5">
        <v>4.3</v>
      </c>
      <c r="M88" s="5">
        <v>614596.31999999995</v>
      </c>
      <c r="N88" s="5">
        <v>131199.41</v>
      </c>
      <c r="O88">
        <f t="shared" si="3"/>
        <v>0</v>
      </c>
      <c r="P88">
        <f t="shared" si="4"/>
        <v>0</v>
      </c>
      <c r="Q88">
        <f t="shared" si="5"/>
        <v>1</v>
      </c>
    </row>
    <row r="89" spans="1:17" x14ac:dyDescent="0.3">
      <c r="A89" s="5" t="s">
        <v>47</v>
      </c>
      <c r="B89" s="6">
        <v>45748</v>
      </c>
      <c r="C89" s="5" t="s">
        <v>31</v>
      </c>
      <c r="D89" s="5" t="s">
        <v>22</v>
      </c>
      <c r="E89" s="5">
        <v>18996.32</v>
      </c>
      <c r="F89" s="5">
        <v>1260</v>
      </c>
      <c r="G89" s="5">
        <v>0.14499999999999999</v>
      </c>
      <c r="H89" s="5">
        <v>9</v>
      </c>
      <c r="I89" s="5">
        <v>86.4</v>
      </c>
      <c r="J89" s="5">
        <v>4.3099999999999996</v>
      </c>
      <c r="K89" s="5">
        <v>0</v>
      </c>
      <c r="L89" s="5">
        <v>4.5999999999999996</v>
      </c>
      <c r="M89" s="5">
        <v>450711.92</v>
      </c>
      <c r="N89" s="5">
        <v>90043.76</v>
      </c>
      <c r="O89">
        <f t="shared" si="3"/>
        <v>0</v>
      </c>
      <c r="P89">
        <f t="shared" si="4"/>
        <v>0</v>
      </c>
      <c r="Q89">
        <f t="shared" si="5"/>
        <v>1</v>
      </c>
    </row>
    <row r="90" spans="1:17" x14ac:dyDescent="0.3">
      <c r="A90" s="5" t="s">
        <v>48</v>
      </c>
      <c r="B90" s="6">
        <v>45658</v>
      </c>
      <c r="C90" s="5" t="s">
        <v>28</v>
      </c>
      <c r="D90" s="5" t="s">
        <v>32</v>
      </c>
      <c r="E90" s="5">
        <v>50517.94</v>
      </c>
      <c r="F90" s="5">
        <v>7024</v>
      </c>
      <c r="G90" s="5">
        <v>2.9000000000000001E-2</v>
      </c>
      <c r="H90" s="5">
        <v>18</v>
      </c>
      <c r="I90" s="5">
        <v>79.2</v>
      </c>
      <c r="J90" s="5">
        <v>6.61</v>
      </c>
      <c r="K90" s="5">
        <v>1</v>
      </c>
      <c r="L90" s="5">
        <v>4.0999999999999996</v>
      </c>
      <c r="M90" s="5">
        <v>711213.46</v>
      </c>
      <c r="N90" s="5">
        <v>105863.26</v>
      </c>
      <c r="O90">
        <f t="shared" si="3"/>
        <v>0</v>
      </c>
      <c r="P90">
        <f t="shared" si="4"/>
        <v>0</v>
      </c>
      <c r="Q90">
        <f t="shared" si="5"/>
        <v>0</v>
      </c>
    </row>
    <row r="91" spans="1:17" x14ac:dyDescent="0.3">
      <c r="A91" s="5" t="s">
        <v>48</v>
      </c>
      <c r="B91" s="6">
        <v>45689</v>
      </c>
      <c r="C91" s="5" t="s">
        <v>28</v>
      </c>
      <c r="D91" s="5" t="s">
        <v>32</v>
      </c>
      <c r="E91" s="5">
        <v>141540.29</v>
      </c>
      <c r="F91" s="5">
        <v>5400</v>
      </c>
      <c r="G91" s="5">
        <v>1.2999999999999999E-2</v>
      </c>
      <c r="H91" s="5">
        <v>12</v>
      </c>
      <c r="I91" s="5">
        <v>87</v>
      </c>
      <c r="J91" s="5">
        <v>4.26</v>
      </c>
      <c r="K91" s="5">
        <v>0</v>
      </c>
      <c r="L91" s="5">
        <v>4.5</v>
      </c>
      <c r="M91" s="5">
        <v>627171.9</v>
      </c>
      <c r="N91" s="5">
        <v>105772.75</v>
      </c>
      <c r="O91">
        <f t="shared" si="3"/>
        <v>0</v>
      </c>
      <c r="P91">
        <f t="shared" si="4"/>
        <v>0</v>
      </c>
      <c r="Q91">
        <f t="shared" si="5"/>
        <v>0</v>
      </c>
    </row>
    <row r="92" spans="1:17" x14ac:dyDescent="0.3">
      <c r="A92" s="5" t="s">
        <v>48</v>
      </c>
      <c r="B92" s="6">
        <v>45717</v>
      </c>
      <c r="C92" s="5" t="s">
        <v>28</v>
      </c>
      <c r="D92" s="5" t="s">
        <v>32</v>
      </c>
      <c r="E92" s="5">
        <v>82116.19</v>
      </c>
      <c r="F92" s="5">
        <v>5988</v>
      </c>
      <c r="G92" s="5">
        <v>0.04</v>
      </c>
      <c r="H92" s="5">
        <v>17</v>
      </c>
      <c r="I92" s="5">
        <v>91.8</v>
      </c>
      <c r="J92" s="5">
        <v>5.75</v>
      </c>
      <c r="K92" s="5">
        <v>0</v>
      </c>
      <c r="L92" s="5">
        <v>4.7</v>
      </c>
      <c r="M92" s="5">
        <v>739852.58</v>
      </c>
      <c r="N92" s="5">
        <v>129386.43</v>
      </c>
      <c r="O92">
        <f t="shared" si="3"/>
        <v>0</v>
      </c>
      <c r="P92">
        <f t="shared" si="4"/>
        <v>0</v>
      </c>
      <c r="Q92">
        <f t="shared" si="5"/>
        <v>0</v>
      </c>
    </row>
    <row r="93" spans="1:17" x14ac:dyDescent="0.3">
      <c r="A93" s="5" t="s">
        <v>48</v>
      </c>
      <c r="B93" s="6">
        <v>45748</v>
      </c>
      <c r="C93" s="5" t="s">
        <v>28</v>
      </c>
      <c r="D93" s="5" t="s">
        <v>32</v>
      </c>
      <c r="E93" s="5">
        <v>31207.51</v>
      </c>
      <c r="F93" s="5">
        <v>3701</v>
      </c>
      <c r="G93" s="5">
        <v>4.2999999999999997E-2</v>
      </c>
      <c r="H93" s="5">
        <v>11</v>
      </c>
      <c r="I93" s="5">
        <v>84.7</v>
      </c>
      <c r="J93" s="5">
        <v>0.33</v>
      </c>
      <c r="K93" s="5">
        <v>0</v>
      </c>
      <c r="L93" s="5">
        <v>4.3</v>
      </c>
      <c r="M93" s="5">
        <v>586307.22</v>
      </c>
      <c r="N93" s="5">
        <v>73927.850000000006</v>
      </c>
      <c r="O93">
        <f t="shared" si="3"/>
        <v>0</v>
      </c>
      <c r="P93">
        <f t="shared" si="4"/>
        <v>0</v>
      </c>
      <c r="Q93">
        <f t="shared" si="5"/>
        <v>0</v>
      </c>
    </row>
    <row r="94" spans="1:17" x14ac:dyDescent="0.3">
      <c r="A94" s="5" t="s">
        <v>49</v>
      </c>
      <c r="B94" s="6">
        <v>45658</v>
      </c>
      <c r="C94" s="5" t="s">
        <v>31</v>
      </c>
      <c r="D94" s="5" t="s">
        <v>17</v>
      </c>
      <c r="E94" s="5">
        <v>38966.589999999997</v>
      </c>
      <c r="F94" s="5">
        <v>4509</v>
      </c>
      <c r="G94" s="5">
        <v>0.19400000000000001</v>
      </c>
      <c r="H94" s="5">
        <v>14</v>
      </c>
      <c r="I94" s="5">
        <v>91.1</v>
      </c>
      <c r="J94" s="5">
        <v>2.92</v>
      </c>
      <c r="K94" s="5">
        <v>0</v>
      </c>
      <c r="L94" s="5">
        <v>4.5999999999999996</v>
      </c>
      <c r="M94" s="5">
        <v>585937.48</v>
      </c>
      <c r="N94" s="5">
        <v>82624.2</v>
      </c>
      <c r="O94">
        <f t="shared" si="3"/>
        <v>0</v>
      </c>
      <c r="P94">
        <f t="shared" si="4"/>
        <v>0</v>
      </c>
      <c r="Q94">
        <f t="shared" si="5"/>
        <v>1</v>
      </c>
    </row>
    <row r="95" spans="1:17" x14ac:dyDescent="0.3">
      <c r="A95" s="5" t="s">
        <v>49</v>
      </c>
      <c r="B95" s="6">
        <v>45689</v>
      </c>
      <c r="C95" s="5" t="s">
        <v>31</v>
      </c>
      <c r="D95" s="5" t="s">
        <v>17</v>
      </c>
      <c r="E95" s="5">
        <v>67439.3</v>
      </c>
      <c r="F95" s="5">
        <v>6477</v>
      </c>
      <c r="G95" s="5">
        <v>0</v>
      </c>
      <c r="H95" s="5">
        <v>16</v>
      </c>
      <c r="I95" s="5">
        <v>90.9</v>
      </c>
      <c r="J95" s="5">
        <v>1.64</v>
      </c>
      <c r="K95" s="5">
        <v>0</v>
      </c>
      <c r="L95" s="5">
        <v>4.5</v>
      </c>
      <c r="M95" s="5">
        <v>753473.55</v>
      </c>
      <c r="N95" s="5">
        <v>151527.22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 x14ac:dyDescent="0.3">
      <c r="A96" s="5" t="s">
        <v>49</v>
      </c>
      <c r="B96" s="6">
        <v>45717</v>
      </c>
      <c r="C96" s="5" t="s">
        <v>31</v>
      </c>
      <c r="D96" s="5" t="s">
        <v>17</v>
      </c>
      <c r="E96" s="5">
        <v>86421.88</v>
      </c>
      <c r="F96" s="5">
        <v>7970</v>
      </c>
      <c r="G96" s="5">
        <v>7.2999999999999995E-2</v>
      </c>
      <c r="H96" s="5">
        <v>17</v>
      </c>
      <c r="I96" s="5">
        <v>91.3</v>
      </c>
      <c r="J96" s="5">
        <v>0.8</v>
      </c>
      <c r="K96" s="5">
        <v>0</v>
      </c>
      <c r="L96" s="5">
        <v>5</v>
      </c>
      <c r="M96" s="5">
        <v>838250.32</v>
      </c>
      <c r="N96" s="5">
        <v>122939.34</v>
      </c>
      <c r="O96">
        <f t="shared" si="3"/>
        <v>0</v>
      </c>
      <c r="P96">
        <f t="shared" si="4"/>
        <v>0</v>
      </c>
      <c r="Q96">
        <f t="shared" si="5"/>
        <v>1</v>
      </c>
    </row>
    <row r="97" spans="1:17" x14ac:dyDescent="0.3">
      <c r="A97" s="5" t="s">
        <v>49</v>
      </c>
      <c r="B97" s="6">
        <v>45748</v>
      </c>
      <c r="C97" s="5" t="s">
        <v>31</v>
      </c>
      <c r="D97" s="5" t="s">
        <v>17</v>
      </c>
      <c r="E97" s="5">
        <v>9534.65</v>
      </c>
      <c r="F97" s="5">
        <v>6057</v>
      </c>
      <c r="G97" s="5">
        <v>7.3999999999999996E-2</v>
      </c>
      <c r="H97" s="5">
        <v>15</v>
      </c>
      <c r="I97" s="5">
        <v>94.1</v>
      </c>
      <c r="J97" s="5">
        <v>5.79</v>
      </c>
      <c r="K97" s="5">
        <v>0</v>
      </c>
      <c r="L97" s="5">
        <v>4.5</v>
      </c>
      <c r="M97" s="5">
        <v>607898.12</v>
      </c>
      <c r="N97" s="5">
        <v>135404.85</v>
      </c>
      <c r="O97">
        <f t="shared" si="3"/>
        <v>0</v>
      </c>
      <c r="P97">
        <f t="shared" si="4"/>
        <v>0</v>
      </c>
      <c r="Q97">
        <f t="shared" si="5"/>
        <v>1</v>
      </c>
    </row>
    <row r="98" spans="1:17" x14ac:dyDescent="0.3">
      <c r="A98" s="5" t="s">
        <v>50</v>
      </c>
      <c r="B98" s="6">
        <v>45658</v>
      </c>
      <c r="C98" s="5" t="s">
        <v>31</v>
      </c>
      <c r="D98" s="5" t="s">
        <v>32</v>
      </c>
      <c r="E98" s="5">
        <v>61132.07</v>
      </c>
      <c r="F98" s="5">
        <v>6394</v>
      </c>
      <c r="G98" s="5">
        <v>0.16300000000000001</v>
      </c>
      <c r="H98" s="5">
        <v>19</v>
      </c>
      <c r="I98" s="5">
        <v>91</v>
      </c>
      <c r="J98" s="5">
        <v>19.600000000000001</v>
      </c>
      <c r="K98" s="5">
        <v>0</v>
      </c>
      <c r="L98" s="5">
        <v>4.4000000000000004</v>
      </c>
      <c r="M98" s="5">
        <v>691113.62</v>
      </c>
      <c r="N98" s="5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 x14ac:dyDescent="0.3">
      <c r="A99" s="5" t="s">
        <v>50</v>
      </c>
      <c r="B99" s="6">
        <v>45689</v>
      </c>
      <c r="C99" s="5" t="s">
        <v>31</v>
      </c>
      <c r="D99" s="5" t="s">
        <v>32</v>
      </c>
      <c r="E99" s="5">
        <v>78839.39</v>
      </c>
      <c r="F99" s="5">
        <v>5150</v>
      </c>
      <c r="G99" s="5">
        <v>0.17100000000000001</v>
      </c>
      <c r="H99" s="5">
        <v>13</v>
      </c>
      <c r="I99" s="5">
        <v>85.8</v>
      </c>
      <c r="J99" s="5">
        <v>7.57</v>
      </c>
      <c r="K99" s="5">
        <v>0</v>
      </c>
      <c r="L99" s="5">
        <v>4.3</v>
      </c>
      <c r="M99" s="5">
        <v>735509.4</v>
      </c>
      <c r="N99" s="5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 x14ac:dyDescent="0.3">
      <c r="A100" s="5" t="s">
        <v>50</v>
      </c>
      <c r="B100" s="6">
        <v>45717</v>
      </c>
      <c r="C100" s="5" t="s">
        <v>31</v>
      </c>
      <c r="D100" s="5" t="s">
        <v>32</v>
      </c>
      <c r="E100" s="5">
        <v>38752.800000000003</v>
      </c>
      <c r="F100" s="5">
        <v>4712</v>
      </c>
      <c r="G100" s="5">
        <v>7.4999999999999997E-2</v>
      </c>
      <c r="H100" s="5">
        <v>15</v>
      </c>
      <c r="I100" s="5">
        <v>89.7</v>
      </c>
      <c r="J100">
        <v>4.5590450000000002</v>
      </c>
      <c r="K100" s="5">
        <v>0</v>
      </c>
      <c r="L100" s="5">
        <v>4.3</v>
      </c>
      <c r="M100" s="5">
        <v>605775.32999999996</v>
      </c>
      <c r="N100" s="5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 x14ac:dyDescent="0.3">
      <c r="A101" s="5" t="s">
        <v>50</v>
      </c>
      <c r="B101" s="6">
        <v>45748</v>
      </c>
      <c r="C101" s="5" t="s">
        <v>31</v>
      </c>
      <c r="D101" s="5" t="s">
        <v>32</v>
      </c>
      <c r="E101" s="5">
        <v>55101.1</v>
      </c>
      <c r="F101" s="5">
        <v>5281</v>
      </c>
      <c r="G101" s="5">
        <v>0.189</v>
      </c>
      <c r="H101" s="5">
        <v>11</v>
      </c>
      <c r="I101" s="5">
        <v>91</v>
      </c>
      <c r="J101" s="5">
        <v>2.7</v>
      </c>
      <c r="K101" s="5">
        <v>0</v>
      </c>
      <c r="L101" s="5">
        <v>4.4000000000000004</v>
      </c>
      <c r="M101" s="5">
        <v>675177.68</v>
      </c>
      <c r="N101" s="5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 x14ac:dyDescent="0.3">
      <c r="A102" s="5" t="s">
        <v>51</v>
      </c>
      <c r="B102" s="6">
        <v>45658</v>
      </c>
      <c r="C102" s="5" t="s">
        <v>16</v>
      </c>
      <c r="D102" s="5" t="s">
        <v>32</v>
      </c>
      <c r="E102" s="5">
        <v>53084.76</v>
      </c>
      <c r="F102" s="5">
        <v>3642</v>
      </c>
      <c r="G102" s="5">
        <v>0.15</v>
      </c>
      <c r="H102" s="5">
        <v>12</v>
      </c>
      <c r="I102" s="5">
        <v>91.4</v>
      </c>
      <c r="J102" s="5">
        <v>0.2</v>
      </c>
      <c r="K102" s="5">
        <v>0</v>
      </c>
      <c r="L102" s="5">
        <v>4.4000000000000004</v>
      </c>
      <c r="M102" s="5">
        <v>635181.35</v>
      </c>
      <c r="N102" s="5">
        <v>83341.25</v>
      </c>
      <c r="O102">
        <f t="shared" si="3"/>
        <v>1</v>
      </c>
      <c r="P102">
        <f t="shared" si="4"/>
        <v>0</v>
      </c>
      <c r="Q102">
        <f t="shared" si="5"/>
        <v>0</v>
      </c>
    </row>
    <row r="103" spans="1:17" x14ac:dyDescent="0.3">
      <c r="A103" s="5" t="s">
        <v>51</v>
      </c>
      <c r="B103" s="6">
        <v>45689</v>
      </c>
      <c r="C103" s="5" t="s">
        <v>16</v>
      </c>
      <c r="D103" s="5" t="s">
        <v>32</v>
      </c>
      <c r="E103" s="5">
        <v>63101.59</v>
      </c>
      <c r="F103" s="5">
        <v>4373</v>
      </c>
      <c r="G103" s="5">
        <v>0.17299999999999999</v>
      </c>
      <c r="H103" s="5">
        <v>14</v>
      </c>
      <c r="I103" s="5">
        <v>90.4</v>
      </c>
      <c r="J103" s="5">
        <v>7.87</v>
      </c>
      <c r="K103" s="5">
        <v>0</v>
      </c>
      <c r="L103" s="5">
        <v>4.7</v>
      </c>
      <c r="M103" s="5">
        <v>586626.93999999994</v>
      </c>
      <c r="N103" s="5">
        <v>86498.55</v>
      </c>
      <c r="O103">
        <f t="shared" si="3"/>
        <v>1</v>
      </c>
      <c r="P103">
        <f t="shared" si="4"/>
        <v>0</v>
      </c>
      <c r="Q103">
        <f t="shared" si="5"/>
        <v>0</v>
      </c>
    </row>
    <row r="104" spans="1:17" x14ac:dyDescent="0.3">
      <c r="A104" s="5" t="s">
        <v>51</v>
      </c>
      <c r="B104" s="6">
        <v>45717</v>
      </c>
      <c r="C104" s="5" t="s">
        <v>16</v>
      </c>
      <c r="D104" s="5" t="s">
        <v>32</v>
      </c>
      <c r="E104" s="5">
        <v>90084.4</v>
      </c>
      <c r="F104" s="5">
        <v>6832</v>
      </c>
      <c r="G104" s="5">
        <v>0.185</v>
      </c>
      <c r="H104" s="5">
        <v>14</v>
      </c>
      <c r="I104" s="5">
        <v>80.5</v>
      </c>
      <c r="J104" s="5">
        <v>0.77</v>
      </c>
      <c r="K104" s="5">
        <v>1</v>
      </c>
      <c r="L104" s="5">
        <v>4.4000000000000004</v>
      </c>
      <c r="M104" s="5">
        <v>740102.64</v>
      </c>
      <c r="N104" s="5">
        <v>114299.07</v>
      </c>
      <c r="O104">
        <f t="shared" si="3"/>
        <v>1</v>
      </c>
      <c r="P104">
        <f t="shared" si="4"/>
        <v>0</v>
      </c>
      <c r="Q104">
        <f t="shared" si="5"/>
        <v>0</v>
      </c>
    </row>
    <row r="105" spans="1:17" x14ac:dyDescent="0.3">
      <c r="A105" s="5" t="s">
        <v>51</v>
      </c>
      <c r="B105" s="6">
        <v>45748</v>
      </c>
      <c r="C105" s="5" t="s">
        <v>16</v>
      </c>
      <c r="D105" s="5" t="s">
        <v>32</v>
      </c>
      <c r="E105" s="5">
        <v>32266.639999999999</v>
      </c>
      <c r="F105" s="5">
        <v>2414</v>
      </c>
      <c r="G105" s="5">
        <v>0.08</v>
      </c>
      <c r="H105" s="5">
        <v>7</v>
      </c>
      <c r="I105" s="5">
        <v>92.1</v>
      </c>
      <c r="J105" s="5">
        <v>1.48</v>
      </c>
      <c r="K105" s="5">
        <v>0</v>
      </c>
      <c r="L105" s="5">
        <v>5</v>
      </c>
      <c r="M105" s="5">
        <v>625514.04</v>
      </c>
      <c r="N105" s="5">
        <v>120685.08</v>
      </c>
      <c r="O105">
        <f t="shared" si="3"/>
        <v>1</v>
      </c>
      <c r="P105">
        <f t="shared" si="4"/>
        <v>0</v>
      </c>
      <c r="Q105">
        <f t="shared" si="5"/>
        <v>0</v>
      </c>
    </row>
    <row r="106" spans="1:17" x14ac:dyDescent="0.3">
      <c r="A106" s="5" t="s">
        <v>52</v>
      </c>
      <c r="B106" s="6">
        <v>45658</v>
      </c>
      <c r="C106" s="5" t="s">
        <v>31</v>
      </c>
      <c r="D106" s="5" t="s">
        <v>22</v>
      </c>
      <c r="E106" s="5">
        <v>57919.07</v>
      </c>
      <c r="F106" s="5">
        <v>7374</v>
      </c>
      <c r="G106" s="5">
        <v>0.10299999999999999</v>
      </c>
      <c r="H106" s="5">
        <v>21</v>
      </c>
      <c r="I106" s="5">
        <v>82.3</v>
      </c>
      <c r="J106" s="5">
        <v>2.87</v>
      </c>
      <c r="K106" s="5">
        <v>0</v>
      </c>
      <c r="L106" s="5">
        <v>2.9</v>
      </c>
      <c r="M106" s="5">
        <v>727227.2</v>
      </c>
      <c r="N106" s="5">
        <v>121292.01</v>
      </c>
      <c r="O106">
        <f t="shared" si="3"/>
        <v>0</v>
      </c>
      <c r="P106">
        <f t="shared" si="4"/>
        <v>0</v>
      </c>
      <c r="Q106">
        <f t="shared" si="5"/>
        <v>1</v>
      </c>
    </row>
    <row r="107" spans="1:17" x14ac:dyDescent="0.3">
      <c r="A107" s="5" t="s">
        <v>52</v>
      </c>
      <c r="B107" s="6">
        <v>45689</v>
      </c>
      <c r="C107" s="5" t="s">
        <v>31</v>
      </c>
      <c r="D107" s="5" t="s">
        <v>22</v>
      </c>
      <c r="E107" s="5">
        <v>74679.350000000006</v>
      </c>
      <c r="F107" s="5">
        <v>8739</v>
      </c>
      <c r="G107" s="5">
        <v>5.6000000000000001E-2</v>
      </c>
      <c r="H107" s="5">
        <v>21</v>
      </c>
      <c r="I107" s="5">
        <v>91.8</v>
      </c>
      <c r="J107" s="5">
        <v>2.83</v>
      </c>
      <c r="K107" s="5">
        <v>0</v>
      </c>
      <c r="L107" s="5">
        <v>3</v>
      </c>
      <c r="M107" s="5">
        <v>783797.89</v>
      </c>
      <c r="N107" s="5">
        <v>157620.70000000001</v>
      </c>
      <c r="O107">
        <f t="shared" si="3"/>
        <v>0</v>
      </c>
      <c r="P107">
        <f t="shared" si="4"/>
        <v>0</v>
      </c>
      <c r="Q107">
        <f t="shared" si="5"/>
        <v>1</v>
      </c>
    </row>
    <row r="108" spans="1:17" x14ac:dyDescent="0.3">
      <c r="A108" s="5" t="s">
        <v>52</v>
      </c>
      <c r="B108" s="6">
        <v>45717</v>
      </c>
      <c r="C108" s="5" t="s">
        <v>31</v>
      </c>
      <c r="D108" s="5" t="s">
        <v>22</v>
      </c>
      <c r="E108" s="5">
        <v>64294.23</v>
      </c>
      <c r="F108" s="5">
        <v>6992</v>
      </c>
      <c r="G108" s="5">
        <v>0.13300000000000001</v>
      </c>
      <c r="H108" s="5">
        <v>14</v>
      </c>
      <c r="I108" s="5">
        <v>94.1</v>
      </c>
      <c r="J108" s="5">
        <v>0.25</v>
      </c>
      <c r="K108" s="5">
        <v>0</v>
      </c>
      <c r="L108" s="5">
        <v>3</v>
      </c>
      <c r="M108" s="5">
        <v>795153.84</v>
      </c>
      <c r="N108" s="5">
        <v>143194.21</v>
      </c>
      <c r="O108">
        <f t="shared" si="3"/>
        <v>0</v>
      </c>
      <c r="P108">
        <f t="shared" si="4"/>
        <v>0</v>
      </c>
      <c r="Q108">
        <f t="shared" si="5"/>
        <v>1</v>
      </c>
    </row>
    <row r="109" spans="1:17" x14ac:dyDescent="0.3">
      <c r="A109" s="5" t="s">
        <v>52</v>
      </c>
      <c r="B109" s="6">
        <v>45748</v>
      </c>
      <c r="C109" s="5" t="s">
        <v>31</v>
      </c>
      <c r="D109" s="5" t="s">
        <v>22</v>
      </c>
      <c r="E109" s="5">
        <v>31042.03</v>
      </c>
      <c r="F109" s="5">
        <v>7107</v>
      </c>
      <c r="G109" s="5">
        <v>5.0999999999999997E-2</v>
      </c>
      <c r="H109" s="5">
        <v>15</v>
      </c>
      <c r="I109" s="5">
        <v>87</v>
      </c>
      <c r="J109" s="5">
        <v>13.33</v>
      </c>
      <c r="K109" s="5">
        <v>0</v>
      </c>
      <c r="L109" s="5">
        <v>3.2</v>
      </c>
      <c r="M109" s="5">
        <v>665594.93999999994</v>
      </c>
      <c r="N109" s="5">
        <v>127597.34</v>
      </c>
      <c r="O109">
        <f t="shared" si="3"/>
        <v>0</v>
      </c>
      <c r="P109">
        <f t="shared" si="4"/>
        <v>0</v>
      </c>
      <c r="Q109">
        <f t="shared" si="5"/>
        <v>1</v>
      </c>
    </row>
    <row r="110" spans="1:17" x14ac:dyDescent="0.3">
      <c r="A110" s="5" t="s">
        <v>53</v>
      </c>
      <c r="B110" s="6">
        <v>45658</v>
      </c>
      <c r="C110" s="5" t="s">
        <v>16</v>
      </c>
      <c r="D110" s="5" t="s">
        <v>32</v>
      </c>
      <c r="E110" s="5">
        <v>75265.02</v>
      </c>
      <c r="F110" s="5">
        <v>6975</v>
      </c>
      <c r="G110" s="5">
        <v>0.157</v>
      </c>
      <c r="H110" s="5">
        <v>20</v>
      </c>
      <c r="I110" s="5">
        <v>73.8</v>
      </c>
      <c r="J110" s="5">
        <v>6.35</v>
      </c>
      <c r="K110" s="5">
        <v>1</v>
      </c>
      <c r="L110" s="5">
        <v>3.8</v>
      </c>
      <c r="M110" s="5">
        <v>709478.39</v>
      </c>
      <c r="N110" s="5">
        <v>71294.27</v>
      </c>
      <c r="O110">
        <f t="shared" si="3"/>
        <v>1</v>
      </c>
      <c r="P110">
        <f t="shared" si="4"/>
        <v>0</v>
      </c>
      <c r="Q110">
        <f t="shared" si="5"/>
        <v>0</v>
      </c>
    </row>
    <row r="111" spans="1:17" x14ac:dyDescent="0.3">
      <c r="A111" s="5" t="s">
        <v>53</v>
      </c>
      <c r="B111" s="6">
        <v>45689</v>
      </c>
      <c r="C111" s="5" t="s">
        <v>16</v>
      </c>
      <c r="D111" s="5" t="s">
        <v>32</v>
      </c>
      <c r="E111" s="5">
        <v>69411.7</v>
      </c>
      <c r="F111" s="5">
        <v>5493</v>
      </c>
      <c r="G111" s="5">
        <v>0.29199999999999998</v>
      </c>
      <c r="H111" s="5">
        <v>13</v>
      </c>
      <c r="I111" s="5">
        <v>86.5</v>
      </c>
      <c r="J111" s="5">
        <v>6.69</v>
      </c>
      <c r="K111" s="5">
        <v>0</v>
      </c>
      <c r="L111" s="5">
        <v>3.8</v>
      </c>
      <c r="M111" s="5">
        <v>664162.49</v>
      </c>
      <c r="N111" s="5">
        <v>98291.06</v>
      </c>
      <c r="O111">
        <f t="shared" si="3"/>
        <v>1</v>
      </c>
      <c r="P111">
        <f t="shared" si="4"/>
        <v>0</v>
      </c>
      <c r="Q111">
        <f t="shared" si="5"/>
        <v>0</v>
      </c>
    </row>
    <row r="112" spans="1:17" x14ac:dyDescent="0.3">
      <c r="A112" s="5" t="s">
        <v>53</v>
      </c>
      <c r="B112" s="6">
        <v>45717</v>
      </c>
      <c r="C112" s="5" t="s">
        <v>16</v>
      </c>
      <c r="D112" s="5" t="s">
        <v>32</v>
      </c>
      <c r="E112" s="5">
        <v>51056.15</v>
      </c>
      <c r="F112" s="5">
        <v>5686</v>
      </c>
      <c r="G112" s="5">
        <v>8.8999999999999996E-2</v>
      </c>
      <c r="H112" s="5">
        <v>13</v>
      </c>
      <c r="I112" s="5">
        <v>89.9</v>
      </c>
      <c r="J112" s="5">
        <v>1.28</v>
      </c>
      <c r="K112" s="5">
        <v>0</v>
      </c>
      <c r="L112" s="5">
        <v>4.2</v>
      </c>
      <c r="M112" s="5">
        <v>633494.21</v>
      </c>
      <c r="N112" s="5">
        <v>105739.47</v>
      </c>
      <c r="O112">
        <f t="shared" si="3"/>
        <v>1</v>
      </c>
      <c r="P112">
        <f t="shared" si="4"/>
        <v>0</v>
      </c>
      <c r="Q112">
        <f t="shared" si="5"/>
        <v>0</v>
      </c>
    </row>
    <row r="113" spans="1:17" x14ac:dyDescent="0.3">
      <c r="A113" s="5" t="s">
        <v>53</v>
      </c>
      <c r="B113" s="6">
        <v>45748</v>
      </c>
      <c r="C113" s="5" t="s">
        <v>16</v>
      </c>
      <c r="D113" s="5" t="s">
        <v>32</v>
      </c>
      <c r="E113" s="5">
        <v>52758.01</v>
      </c>
      <c r="F113" s="5">
        <v>4063</v>
      </c>
      <c r="G113" s="5">
        <v>5.7000000000000002E-2</v>
      </c>
      <c r="H113" s="5">
        <v>12</v>
      </c>
      <c r="I113" s="5">
        <v>91.7</v>
      </c>
      <c r="J113" s="5">
        <v>0.92</v>
      </c>
      <c r="K113" s="5">
        <v>0</v>
      </c>
      <c r="L113" s="5">
        <v>3.5</v>
      </c>
      <c r="M113" s="5">
        <v>713611.16</v>
      </c>
      <c r="N113" s="5">
        <v>129717.18</v>
      </c>
      <c r="O113">
        <f t="shared" si="3"/>
        <v>1</v>
      </c>
      <c r="P113">
        <f t="shared" si="4"/>
        <v>0</v>
      </c>
      <c r="Q113">
        <f t="shared" si="5"/>
        <v>0</v>
      </c>
    </row>
    <row r="114" spans="1:17" x14ac:dyDescent="0.3">
      <c r="A114" s="5" t="s">
        <v>54</v>
      </c>
      <c r="B114" s="6">
        <v>45658</v>
      </c>
      <c r="C114" s="5" t="s">
        <v>31</v>
      </c>
      <c r="D114" s="5" t="s">
        <v>32</v>
      </c>
      <c r="E114" s="5">
        <v>61426.04</v>
      </c>
      <c r="F114" s="5">
        <v>8966</v>
      </c>
      <c r="G114" s="5">
        <v>0.17299999999999999</v>
      </c>
      <c r="H114" s="5">
        <v>22</v>
      </c>
      <c r="I114" s="5">
        <v>76.400000000000006</v>
      </c>
      <c r="J114" s="5">
        <v>1.05</v>
      </c>
      <c r="K114" s="5">
        <v>0</v>
      </c>
      <c r="L114" s="5">
        <v>3.1</v>
      </c>
      <c r="M114" s="5">
        <v>778397.97</v>
      </c>
      <c r="N114" s="5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 x14ac:dyDescent="0.3">
      <c r="A115" s="5" t="s">
        <v>54</v>
      </c>
      <c r="B115" s="6">
        <v>45689</v>
      </c>
      <c r="C115" s="5" t="s">
        <v>31</v>
      </c>
      <c r="D115" s="5" t="s">
        <v>32</v>
      </c>
      <c r="E115" s="5">
        <v>80176.34</v>
      </c>
      <c r="F115" s="5">
        <v>9489</v>
      </c>
      <c r="G115" s="5">
        <v>0.14199999999999999</v>
      </c>
      <c r="H115" s="5">
        <v>22</v>
      </c>
      <c r="I115" s="5">
        <v>94.3</v>
      </c>
      <c r="J115" s="5">
        <v>2.67</v>
      </c>
      <c r="K115" s="5">
        <v>0</v>
      </c>
      <c r="L115" s="5">
        <v>3.5</v>
      </c>
      <c r="M115" s="5">
        <v>873380.02</v>
      </c>
      <c r="N115" s="5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 x14ac:dyDescent="0.3">
      <c r="A116" s="5" t="s">
        <v>54</v>
      </c>
      <c r="B116" s="6">
        <v>45717</v>
      </c>
      <c r="C116" s="5" t="s">
        <v>31</v>
      </c>
      <c r="D116" s="5" t="s">
        <v>32</v>
      </c>
      <c r="E116" s="5">
        <v>33605.18</v>
      </c>
      <c r="F116" s="5">
        <v>9225</v>
      </c>
      <c r="G116" s="5">
        <v>0.159</v>
      </c>
      <c r="H116" s="5">
        <v>23</v>
      </c>
      <c r="I116" s="5">
        <v>88.4</v>
      </c>
      <c r="J116" s="5">
        <v>5.91</v>
      </c>
      <c r="K116" s="5">
        <v>0</v>
      </c>
      <c r="L116" s="5">
        <v>2.8</v>
      </c>
      <c r="M116" s="5">
        <v>697287.9</v>
      </c>
      <c r="N116" s="5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 x14ac:dyDescent="0.3">
      <c r="A117" s="5" t="s">
        <v>54</v>
      </c>
      <c r="B117" s="6">
        <v>45748</v>
      </c>
      <c r="C117" s="5" t="s">
        <v>31</v>
      </c>
      <c r="D117" s="5" t="s">
        <v>32</v>
      </c>
      <c r="E117" s="5">
        <v>25990.54</v>
      </c>
      <c r="F117" s="5">
        <v>9249</v>
      </c>
      <c r="G117" s="5">
        <v>0.13900000000000001</v>
      </c>
      <c r="H117" s="5">
        <v>23</v>
      </c>
      <c r="I117" s="5">
        <v>92.5</v>
      </c>
      <c r="J117" s="5">
        <v>6.37</v>
      </c>
      <c r="K117" s="5">
        <v>0</v>
      </c>
      <c r="L117" s="5">
        <v>3.3</v>
      </c>
      <c r="M117" s="5">
        <v>718074.79</v>
      </c>
      <c r="N117" s="5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 x14ac:dyDescent="0.3">
      <c r="A118" s="5" t="s">
        <v>55</v>
      </c>
      <c r="B118" s="6">
        <v>45658</v>
      </c>
      <c r="C118" s="5" t="s">
        <v>31</v>
      </c>
      <c r="D118" s="5" t="s">
        <v>17</v>
      </c>
      <c r="E118" s="5">
        <v>43685.14</v>
      </c>
      <c r="F118" s="5">
        <v>7821</v>
      </c>
      <c r="G118" s="5">
        <v>0.19</v>
      </c>
      <c r="H118" s="5">
        <v>17</v>
      </c>
      <c r="I118" s="5">
        <v>91</v>
      </c>
      <c r="J118" s="5">
        <v>2.4900000000000002</v>
      </c>
      <c r="K118" s="5">
        <v>1</v>
      </c>
      <c r="L118" s="5">
        <v>4.7</v>
      </c>
      <c r="M118" s="5">
        <v>714942.43</v>
      </c>
      <c r="N118" s="5">
        <v>94697.71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 x14ac:dyDescent="0.3">
      <c r="A119" s="5" t="s">
        <v>55</v>
      </c>
      <c r="B119" s="6">
        <v>45689</v>
      </c>
      <c r="C119" s="5" t="s">
        <v>31</v>
      </c>
      <c r="D119" s="5" t="s">
        <v>17</v>
      </c>
      <c r="E119" s="5">
        <v>57360.01</v>
      </c>
      <c r="F119" s="5">
        <v>8434</v>
      </c>
      <c r="G119" s="5">
        <v>0.151</v>
      </c>
      <c r="H119" s="5">
        <v>19</v>
      </c>
      <c r="I119" s="5">
        <v>84.1</v>
      </c>
      <c r="J119" s="5">
        <v>1.56</v>
      </c>
      <c r="K119" s="5">
        <v>0</v>
      </c>
      <c r="L119" s="5">
        <v>4.7</v>
      </c>
      <c r="M119" s="5">
        <v>820519.04</v>
      </c>
      <c r="N119" s="5">
        <v>99035.88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 x14ac:dyDescent="0.3">
      <c r="A120" s="5" t="s">
        <v>55</v>
      </c>
      <c r="B120" s="6">
        <v>45717</v>
      </c>
      <c r="C120" s="5" t="s">
        <v>31</v>
      </c>
      <c r="D120" s="5" t="s">
        <v>17</v>
      </c>
      <c r="E120" s="5">
        <v>42415.47</v>
      </c>
      <c r="F120" s="5">
        <v>8512</v>
      </c>
      <c r="G120" s="5">
        <v>0.13300000000000001</v>
      </c>
      <c r="H120" s="5">
        <v>18</v>
      </c>
      <c r="I120" s="5">
        <v>96.8</v>
      </c>
      <c r="J120" s="5">
        <v>14.95</v>
      </c>
      <c r="K120" s="5">
        <v>0</v>
      </c>
      <c r="L120" s="5">
        <v>4.5999999999999996</v>
      </c>
      <c r="M120" s="5">
        <v>684217.32</v>
      </c>
      <c r="N120" s="5">
        <v>136217.19</v>
      </c>
      <c r="O120">
        <f t="shared" si="3"/>
        <v>0</v>
      </c>
      <c r="P120">
        <f t="shared" si="4"/>
        <v>0</v>
      </c>
      <c r="Q120">
        <f t="shared" si="5"/>
        <v>1</v>
      </c>
    </row>
    <row r="121" spans="1:17" x14ac:dyDescent="0.3">
      <c r="A121" s="5" t="s">
        <v>55</v>
      </c>
      <c r="B121" s="6">
        <v>45748</v>
      </c>
      <c r="C121" s="5" t="s">
        <v>31</v>
      </c>
      <c r="D121" s="5" t="s">
        <v>17</v>
      </c>
      <c r="E121" s="5">
        <v>54968.98</v>
      </c>
      <c r="F121" s="5">
        <v>7816</v>
      </c>
      <c r="G121" s="5">
        <v>0.23200000000000001</v>
      </c>
      <c r="H121" s="5">
        <v>19</v>
      </c>
      <c r="I121" s="5">
        <v>95.7</v>
      </c>
      <c r="J121" s="5">
        <v>7.85</v>
      </c>
      <c r="K121" s="5">
        <v>0</v>
      </c>
      <c r="L121" s="5">
        <v>4.7</v>
      </c>
      <c r="M121" s="5">
        <v>735480.19</v>
      </c>
      <c r="N121" s="5">
        <v>88342.11</v>
      </c>
      <c r="O121">
        <f t="shared" si="3"/>
        <v>0</v>
      </c>
      <c r="P121">
        <f t="shared" si="4"/>
        <v>0</v>
      </c>
      <c r="Q121">
        <f t="shared" si="5"/>
        <v>1</v>
      </c>
    </row>
    <row r="122" spans="1:17" x14ac:dyDescent="0.3">
      <c r="A122" s="5" t="s">
        <v>56</v>
      </c>
      <c r="B122" s="6">
        <v>45658</v>
      </c>
      <c r="C122" s="5" t="s">
        <v>24</v>
      </c>
      <c r="D122" s="5" t="s">
        <v>22</v>
      </c>
      <c r="E122" s="5">
        <v>43896.13</v>
      </c>
      <c r="F122" s="5">
        <v>3853</v>
      </c>
      <c r="G122" s="5">
        <v>8.7999999999999995E-2</v>
      </c>
      <c r="H122" s="5">
        <v>13</v>
      </c>
      <c r="I122" s="5">
        <v>83</v>
      </c>
      <c r="J122" s="5">
        <v>6.8</v>
      </c>
      <c r="K122" s="5">
        <v>0</v>
      </c>
      <c r="L122" s="5">
        <v>4.4000000000000004</v>
      </c>
      <c r="M122" s="5">
        <v>509484.81</v>
      </c>
      <c r="N122" s="5">
        <v>85742.36</v>
      </c>
      <c r="O122">
        <f t="shared" si="3"/>
        <v>0</v>
      </c>
      <c r="P122">
        <f t="shared" si="4"/>
        <v>1</v>
      </c>
      <c r="Q122">
        <f t="shared" si="5"/>
        <v>0</v>
      </c>
    </row>
    <row r="123" spans="1:17" x14ac:dyDescent="0.3">
      <c r="A123" s="5" t="s">
        <v>56</v>
      </c>
      <c r="B123" s="6">
        <v>45689</v>
      </c>
      <c r="C123" s="5" t="s">
        <v>24</v>
      </c>
      <c r="D123" s="5" t="s">
        <v>22</v>
      </c>
      <c r="E123" s="5">
        <v>83044.17</v>
      </c>
      <c r="F123" s="5">
        <v>3694</v>
      </c>
      <c r="G123" s="5">
        <v>0</v>
      </c>
      <c r="H123" s="5">
        <v>14</v>
      </c>
      <c r="I123" s="5">
        <v>89.4</v>
      </c>
      <c r="J123" s="5">
        <v>2.2000000000000002</v>
      </c>
      <c r="K123" s="5">
        <v>0</v>
      </c>
      <c r="L123" s="5">
        <v>3.7</v>
      </c>
      <c r="M123" s="5">
        <v>654317.09</v>
      </c>
      <c r="N123" s="5">
        <v>121446.89</v>
      </c>
      <c r="O123">
        <f t="shared" si="3"/>
        <v>0</v>
      </c>
      <c r="P123">
        <f t="shared" si="4"/>
        <v>1</v>
      </c>
      <c r="Q123">
        <f t="shared" si="5"/>
        <v>0</v>
      </c>
    </row>
    <row r="124" spans="1:17" x14ac:dyDescent="0.3">
      <c r="A124" s="5" t="s">
        <v>56</v>
      </c>
      <c r="B124" s="6">
        <v>45717</v>
      </c>
      <c r="C124" s="5" t="s">
        <v>24</v>
      </c>
      <c r="D124" s="5" t="s">
        <v>22</v>
      </c>
      <c r="E124" s="5">
        <v>48396.13</v>
      </c>
      <c r="F124" s="5">
        <v>4423</v>
      </c>
      <c r="G124" s="5">
        <v>6.9000000000000006E-2</v>
      </c>
      <c r="H124" s="5">
        <v>15</v>
      </c>
      <c r="I124" s="5">
        <v>85.7</v>
      </c>
      <c r="J124" s="5">
        <v>1.88</v>
      </c>
      <c r="K124" s="5">
        <v>0</v>
      </c>
      <c r="L124" s="5">
        <v>3.9</v>
      </c>
      <c r="M124" s="5">
        <v>557487.26</v>
      </c>
      <c r="N124" s="5">
        <v>76432.19</v>
      </c>
      <c r="O124">
        <f t="shared" si="3"/>
        <v>0</v>
      </c>
      <c r="P124">
        <f t="shared" si="4"/>
        <v>1</v>
      </c>
      <c r="Q124">
        <f t="shared" si="5"/>
        <v>0</v>
      </c>
    </row>
    <row r="125" spans="1:17" x14ac:dyDescent="0.3">
      <c r="A125" s="5" t="s">
        <v>56</v>
      </c>
      <c r="B125" s="6">
        <v>45748</v>
      </c>
      <c r="C125" s="5" t="s">
        <v>24</v>
      </c>
      <c r="D125" s="5" t="s">
        <v>22</v>
      </c>
      <c r="E125" s="5">
        <v>19063.48</v>
      </c>
      <c r="F125" s="5">
        <v>1906</v>
      </c>
      <c r="G125" s="5">
        <v>0.216</v>
      </c>
      <c r="H125" s="5">
        <v>10</v>
      </c>
      <c r="I125" s="5">
        <v>97.8</v>
      </c>
      <c r="J125" s="5">
        <v>15.79</v>
      </c>
      <c r="K125" s="5">
        <v>0</v>
      </c>
      <c r="L125" s="5">
        <v>4.4000000000000004</v>
      </c>
      <c r="M125" s="5">
        <v>441275.42</v>
      </c>
      <c r="N125" s="5">
        <v>58234.87</v>
      </c>
      <c r="O125">
        <f t="shared" si="3"/>
        <v>0</v>
      </c>
      <c r="P125">
        <f t="shared" si="4"/>
        <v>1</v>
      </c>
      <c r="Q125">
        <f t="shared" si="5"/>
        <v>0</v>
      </c>
    </row>
    <row r="126" spans="1:17" x14ac:dyDescent="0.3">
      <c r="A126" s="5" t="s">
        <v>57</v>
      </c>
      <c r="B126" s="6">
        <v>45658</v>
      </c>
      <c r="C126" s="5" t="s">
        <v>28</v>
      </c>
      <c r="D126" s="5" t="s">
        <v>22</v>
      </c>
      <c r="E126" s="5">
        <v>61541.21</v>
      </c>
      <c r="F126" s="5">
        <v>10396</v>
      </c>
      <c r="G126" s="5">
        <v>0.123</v>
      </c>
      <c r="H126" s="5">
        <v>25</v>
      </c>
      <c r="I126" s="5">
        <v>88.1</v>
      </c>
      <c r="J126" s="5">
        <v>2.34</v>
      </c>
      <c r="K126" s="5">
        <v>1</v>
      </c>
      <c r="L126" s="5">
        <v>4.8</v>
      </c>
      <c r="M126" s="5">
        <v>914544.17</v>
      </c>
      <c r="N126" s="5">
        <v>79831.73</v>
      </c>
      <c r="O126">
        <f t="shared" si="3"/>
        <v>0</v>
      </c>
      <c r="P126">
        <f t="shared" si="4"/>
        <v>0</v>
      </c>
      <c r="Q126">
        <f t="shared" si="5"/>
        <v>0</v>
      </c>
    </row>
    <row r="127" spans="1:17" x14ac:dyDescent="0.3">
      <c r="A127" s="5" t="s">
        <v>57</v>
      </c>
      <c r="B127" s="6">
        <v>45689</v>
      </c>
      <c r="C127" s="5" t="s">
        <v>28</v>
      </c>
      <c r="D127" s="5" t="s">
        <v>22</v>
      </c>
      <c r="E127" s="5">
        <v>44747</v>
      </c>
      <c r="F127" s="5">
        <v>11076</v>
      </c>
      <c r="G127" s="5">
        <v>0.17599999999999999</v>
      </c>
      <c r="H127" s="5">
        <v>27</v>
      </c>
      <c r="I127" s="5">
        <v>98.3</v>
      </c>
      <c r="J127" s="5">
        <v>0.54</v>
      </c>
      <c r="K127" s="5">
        <v>0</v>
      </c>
      <c r="L127" s="5">
        <v>4.4000000000000004</v>
      </c>
      <c r="M127" s="5">
        <v>842439.67</v>
      </c>
      <c r="N127" s="5">
        <v>169983.63</v>
      </c>
      <c r="O127">
        <f t="shared" si="3"/>
        <v>0</v>
      </c>
      <c r="P127">
        <f t="shared" si="4"/>
        <v>0</v>
      </c>
      <c r="Q127">
        <f t="shared" si="5"/>
        <v>0</v>
      </c>
    </row>
    <row r="128" spans="1:17" x14ac:dyDescent="0.3">
      <c r="A128" s="5" t="s">
        <v>57</v>
      </c>
      <c r="B128" s="6">
        <v>45717</v>
      </c>
      <c r="C128" s="5" t="s">
        <v>28</v>
      </c>
      <c r="D128" s="5" t="s">
        <v>22</v>
      </c>
      <c r="E128" s="5">
        <v>56517.9</v>
      </c>
      <c r="F128" s="5">
        <v>9574</v>
      </c>
      <c r="G128" s="5">
        <v>0.20399999999999999</v>
      </c>
      <c r="H128" s="5">
        <v>20</v>
      </c>
      <c r="I128" s="5">
        <v>88.2</v>
      </c>
      <c r="J128" s="5">
        <v>5.37</v>
      </c>
      <c r="K128" s="5">
        <v>1</v>
      </c>
      <c r="L128" s="5">
        <v>4.9000000000000004</v>
      </c>
      <c r="M128" s="5">
        <v>842157.92</v>
      </c>
      <c r="N128" s="5">
        <v>107348.22</v>
      </c>
      <c r="O128">
        <f t="shared" si="3"/>
        <v>0</v>
      </c>
      <c r="P128">
        <f t="shared" si="4"/>
        <v>0</v>
      </c>
      <c r="Q128">
        <f t="shared" si="5"/>
        <v>0</v>
      </c>
    </row>
    <row r="129" spans="1:17" x14ac:dyDescent="0.3">
      <c r="A129" s="5" t="s">
        <v>57</v>
      </c>
      <c r="B129" s="6">
        <v>45748</v>
      </c>
      <c r="C129" s="5" t="s">
        <v>28</v>
      </c>
      <c r="D129" s="5" t="s">
        <v>22</v>
      </c>
      <c r="E129" s="5">
        <v>37828.5</v>
      </c>
      <c r="F129" s="5">
        <v>8221</v>
      </c>
      <c r="G129" s="5">
        <v>9.6000000000000002E-2</v>
      </c>
      <c r="H129" s="5">
        <v>19</v>
      </c>
      <c r="I129" s="5">
        <v>81.5</v>
      </c>
      <c r="J129" s="5">
        <v>3.19</v>
      </c>
      <c r="K129" s="5">
        <v>0</v>
      </c>
      <c r="L129" s="5">
        <v>4.8</v>
      </c>
      <c r="M129" s="5">
        <v>697155.3</v>
      </c>
      <c r="N129" s="5">
        <v>136408.54</v>
      </c>
      <c r="O129">
        <f t="shared" si="3"/>
        <v>0</v>
      </c>
      <c r="P129">
        <f t="shared" si="4"/>
        <v>0</v>
      </c>
      <c r="Q129">
        <f t="shared" si="5"/>
        <v>0</v>
      </c>
    </row>
    <row r="130" spans="1:17" x14ac:dyDescent="0.3">
      <c r="A130" s="5" t="s">
        <v>58</v>
      </c>
      <c r="B130" s="6">
        <v>45658</v>
      </c>
      <c r="C130" s="5" t="s">
        <v>16</v>
      </c>
      <c r="D130" s="5" t="s">
        <v>22</v>
      </c>
      <c r="E130" s="5">
        <v>66250.53</v>
      </c>
      <c r="F130" s="5">
        <v>10618</v>
      </c>
      <c r="G130" s="5">
        <v>0.14199999999999999</v>
      </c>
      <c r="H130" s="5">
        <v>27</v>
      </c>
      <c r="I130" s="5">
        <v>88.3</v>
      </c>
      <c r="J130" s="5">
        <v>1.1000000000000001</v>
      </c>
      <c r="K130" s="5">
        <v>1</v>
      </c>
      <c r="L130" s="5">
        <v>4.4000000000000004</v>
      </c>
      <c r="M130" s="5">
        <v>849018.3</v>
      </c>
      <c r="N130" s="5">
        <v>149035.13</v>
      </c>
      <c r="O130">
        <f t="shared" si="3"/>
        <v>1</v>
      </c>
      <c r="P130">
        <f t="shared" si="4"/>
        <v>0</v>
      </c>
      <c r="Q130">
        <f t="shared" si="5"/>
        <v>0</v>
      </c>
    </row>
    <row r="131" spans="1:17" x14ac:dyDescent="0.3">
      <c r="A131" s="5" t="s">
        <v>58</v>
      </c>
      <c r="B131" s="6">
        <v>45689</v>
      </c>
      <c r="C131" s="5" t="s">
        <v>16</v>
      </c>
      <c r="D131" s="5" t="s">
        <v>22</v>
      </c>
      <c r="E131" s="5">
        <v>68410.929999999993</v>
      </c>
      <c r="F131" s="5">
        <v>10596</v>
      </c>
      <c r="G131" s="5">
        <v>0.20699999999999999</v>
      </c>
      <c r="H131" s="5">
        <v>25</v>
      </c>
      <c r="I131" s="5">
        <v>81.2</v>
      </c>
      <c r="J131" s="5">
        <v>0.21</v>
      </c>
      <c r="K131" s="5">
        <v>0</v>
      </c>
      <c r="L131" s="5">
        <v>4</v>
      </c>
      <c r="M131" s="5">
        <v>801830.35</v>
      </c>
      <c r="N131" s="5">
        <v>114875.32</v>
      </c>
      <c r="O131">
        <f t="shared" ref="O131:O194" si="6">IF(C131="East",1,0)</f>
        <v>1</v>
      </c>
      <c r="P131">
        <f t="shared" ref="P131:P194" si="7">IF(C131="North",1,0)</f>
        <v>0</v>
      </c>
      <c r="Q131">
        <f t="shared" ref="Q131:Q194" si="8">IF(C131="west",1,0)</f>
        <v>0</v>
      </c>
    </row>
    <row r="132" spans="1:17" x14ac:dyDescent="0.3">
      <c r="A132" s="5" t="s">
        <v>58</v>
      </c>
      <c r="B132" s="6">
        <v>45717</v>
      </c>
      <c r="C132" s="5" t="s">
        <v>16</v>
      </c>
      <c r="D132" s="5" t="s">
        <v>22</v>
      </c>
      <c r="E132" s="5">
        <v>50735.63</v>
      </c>
      <c r="F132" s="5">
        <v>9619</v>
      </c>
      <c r="G132" s="5">
        <v>0.14399999999999999</v>
      </c>
      <c r="H132" s="5">
        <v>19</v>
      </c>
      <c r="I132" s="5">
        <v>93.8</v>
      </c>
      <c r="J132" s="5">
        <v>5.12</v>
      </c>
      <c r="K132" s="5">
        <v>1</v>
      </c>
      <c r="L132" s="5">
        <v>4.5</v>
      </c>
      <c r="M132" s="5">
        <v>725235.28</v>
      </c>
      <c r="N132" s="5">
        <v>121632.24</v>
      </c>
      <c r="O132">
        <f t="shared" si="6"/>
        <v>1</v>
      </c>
      <c r="P132">
        <f t="shared" si="7"/>
        <v>0</v>
      </c>
      <c r="Q132">
        <f t="shared" si="8"/>
        <v>0</v>
      </c>
    </row>
    <row r="133" spans="1:17" x14ac:dyDescent="0.3">
      <c r="A133" s="5" t="s">
        <v>58</v>
      </c>
      <c r="B133" s="6">
        <v>45748</v>
      </c>
      <c r="C133" s="5" t="s">
        <v>16</v>
      </c>
      <c r="D133" s="5" t="s">
        <v>22</v>
      </c>
      <c r="E133" s="5">
        <v>66455.8</v>
      </c>
      <c r="F133" s="5">
        <v>10836</v>
      </c>
      <c r="G133" s="5">
        <v>8.8999999999999996E-2</v>
      </c>
      <c r="H133" s="5">
        <v>25</v>
      </c>
      <c r="I133" s="5">
        <v>85</v>
      </c>
      <c r="J133" s="5">
        <v>9.77</v>
      </c>
      <c r="K133" s="5">
        <v>0</v>
      </c>
      <c r="L133" s="5">
        <v>4.5</v>
      </c>
      <c r="M133" s="5">
        <v>811452.72</v>
      </c>
      <c r="N133" s="5">
        <v>131325.67000000001</v>
      </c>
      <c r="O133">
        <f t="shared" si="6"/>
        <v>1</v>
      </c>
      <c r="P133">
        <f t="shared" si="7"/>
        <v>0</v>
      </c>
      <c r="Q133">
        <f t="shared" si="8"/>
        <v>0</v>
      </c>
    </row>
    <row r="134" spans="1:17" x14ac:dyDescent="0.3">
      <c r="A134" s="5" t="s">
        <v>59</v>
      </c>
      <c r="B134" s="6">
        <v>45658</v>
      </c>
      <c r="C134" s="5" t="s">
        <v>24</v>
      </c>
      <c r="D134" s="5" t="s">
        <v>22</v>
      </c>
      <c r="E134" s="5">
        <v>70276.28</v>
      </c>
      <c r="F134" s="5">
        <v>3043</v>
      </c>
      <c r="G134" s="5">
        <v>7.9000000000000001E-2</v>
      </c>
      <c r="H134" s="5">
        <v>9</v>
      </c>
      <c r="I134" s="5">
        <v>87.9</v>
      </c>
      <c r="J134" s="5">
        <v>3.77</v>
      </c>
      <c r="K134" s="5">
        <v>0</v>
      </c>
      <c r="L134" s="5">
        <v>4.4000000000000004</v>
      </c>
      <c r="M134" s="5">
        <v>527300.13</v>
      </c>
      <c r="N134" s="5">
        <v>84197.87</v>
      </c>
      <c r="O134">
        <f t="shared" si="6"/>
        <v>0</v>
      </c>
      <c r="P134">
        <f t="shared" si="7"/>
        <v>1</v>
      </c>
      <c r="Q134">
        <f t="shared" si="8"/>
        <v>0</v>
      </c>
    </row>
    <row r="135" spans="1:17" x14ac:dyDescent="0.3">
      <c r="A135" s="5" t="s">
        <v>59</v>
      </c>
      <c r="B135" s="6">
        <v>45689</v>
      </c>
      <c r="C135" s="5" t="s">
        <v>24</v>
      </c>
      <c r="D135" s="5" t="s">
        <v>22</v>
      </c>
      <c r="E135" s="5">
        <v>22071.64</v>
      </c>
      <c r="F135" s="5">
        <v>1814</v>
      </c>
      <c r="G135" s="5">
        <v>0.19600000000000001</v>
      </c>
      <c r="H135" s="5">
        <v>8</v>
      </c>
      <c r="I135" s="5">
        <v>81.099999999999994</v>
      </c>
      <c r="J135" s="5">
        <v>0.78</v>
      </c>
      <c r="K135" s="5">
        <v>0</v>
      </c>
      <c r="L135" s="5">
        <v>3.9246789999999998</v>
      </c>
      <c r="M135" s="5">
        <v>400831.65</v>
      </c>
      <c r="N135" s="5">
        <v>70979.31</v>
      </c>
      <c r="O135">
        <f t="shared" si="6"/>
        <v>0</v>
      </c>
      <c r="P135">
        <f t="shared" si="7"/>
        <v>1</v>
      </c>
      <c r="Q135">
        <f t="shared" si="8"/>
        <v>0</v>
      </c>
    </row>
    <row r="136" spans="1:17" x14ac:dyDescent="0.3">
      <c r="A136" s="5" t="s">
        <v>59</v>
      </c>
      <c r="B136" s="6">
        <v>45717</v>
      </c>
      <c r="C136" s="5" t="s">
        <v>24</v>
      </c>
      <c r="D136" s="5" t="s">
        <v>22</v>
      </c>
      <c r="E136" s="5">
        <v>52285.45</v>
      </c>
      <c r="F136" s="5">
        <v>3618</v>
      </c>
      <c r="G136" s="5">
        <v>8.5999999999999993E-2</v>
      </c>
      <c r="H136" s="5">
        <v>11</v>
      </c>
      <c r="I136" s="5">
        <v>95.6</v>
      </c>
      <c r="J136" s="5">
        <v>5.17</v>
      </c>
      <c r="K136" s="5">
        <v>1</v>
      </c>
      <c r="L136" s="5">
        <v>4.4000000000000004</v>
      </c>
      <c r="M136" s="5">
        <v>593247.25</v>
      </c>
      <c r="N136" s="5">
        <v>81240.289999999994</v>
      </c>
      <c r="O136">
        <f t="shared" si="6"/>
        <v>0</v>
      </c>
      <c r="P136">
        <f t="shared" si="7"/>
        <v>1</v>
      </c>
      <c r="Q136">
        <f t="shared" si="8"/>
        <v>0</v>
      </c>
    </row>
    <row r="137" spans="1:17" x14ac:dyDescent="0.3">
      <c r="A137" s="5" t="s">
        <v>59</v>
      </c>
      <c r="B137" s="6">
        <v>45748</v>
      </c>
      <c r="C137" s="5" t="s">
        <v>24</v>
      </c>
      <c r="D137" s="5" t="s">
        <v>22</v>
      </c>
      <c r="E137" s="5">
        <v>70366.759999999995</v>
      </c>
      <c r="F137" s="5">
        <v>1963</v>
      </c>
      <c r="G137" s="5">
        <v>0.182</v>
      </c>
      <c r="H137" s="5">
        <v>8</v>
      </c>
      <c r="I137" s="5">
        <v>89.8</v>
      </c>
      <c r="J137" s="5">
        <v>3.2</v>
      </c>
      <c r="K137" s="5">
        <v>0</v>
      </c>
      <c r="L137" s="5">
        <v>4.5999999999999996</v>
      </c>
      <c r="M137" s="5">
        <v>529075.94999999995</v>
      </c>
      <c r="N137" s="5">
        <v>95978.83</v>
      </c>
      <c r="O137">
        <f t="shared" si="6"/>
        <v>0</v>
      </c>
      <c r="P137">
        <f t="shared" si="7"/>
        <v>1</v>
      </c>
      <c r="Q137">
        <f t="shared" si="8"/>
        <v>0</v>
      </c>
    </row>
    <row r="138" spans="1:17" x14ac:dyDescent="0.3">
      <c r="A138" s="5" t="s">
        <v>60</v>
      </c>
      <c r="B138" s="6">
        <v>45658</v>
      </c>
      <c r="C138" s="5" t="s">
        <v>28</v>
      </c>
      <c r="D138" s="5" t="s">
        <v>17</v>
      </c>
      <c r="E138" s="5">
        <v>71320.66</v>
      </c>
      <c r="F138" s="5">
        <v>7888</v>
      </c>
      <c r="G138" s="5">
        <v>4.8000000000000001E-2</v>
      </c>
      <c r="H138" s="5">
        <v>20</v>
      </c>
      <c r="I138" s="5">
        <v>78.099999999999994</v>
      </c>
      <c r="J138" s="5">
        <v>3.4</v>
      </c>
      <c r="K138" s="5">
        <v>0</v>
      </c>
      <c r="L138" s="5">
        <v>3.9246789999999998</v>
      </c>
      <c r="M138" s="5">
        <v>633638.03</v>
      </c>
      <c r="N138" s="5">
        <v>99402.01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 x14ac:dyDescent="0.3">
      <c r="A139" s="5" t="s">
        <v>60</v>
      </c>
      <c r="B139" s="6">
        <v>45689</v>
      </c>
      <c r="C139" s="5" t="s">
        <v>28</v>
      </c>
      <c r="D139" s="5" t="s">
        <v>17</v>
      </c>
      <c r="E139" s="5">
        <v>75109.67</v>
      </c>
      <c r="F139" s="5">
        <v>6244</v>
      </c>
      <c r="G139" s="5">
        <v>7.9000000000000001E-2</v>
      </c>
      <c r="H139" s="5">
        <v>15</v>
      </c>
      <c r="I139" s="5">
        <v>96.3</v>
      </c>
      <c r="J139" s="5">
        <v>7.38</v>
      </c>
      <c r="K139" s="5">
        <v>0</v>
      </c>
      <c r="L139" s="5">
        <v>3.7</v>
      </c>
      <c r="M139" s="5">
        <v>743348.84</v>
      </c>
      <c r="N139" s="5">
        <v>104186.09</v>
      </c>
      <c r="O139">
        <f t="shared" si="6"/>
        <v>0</v>
      </c>
      <c r="P139">
        <f t="shared" si="7"/>
        <v>0</v>
      </c>
      <c r="Q139">
        <f t="shared" si="8"/>
        <v>0</v>
      </c>
    </row>
    <row r="140" spans="1:17" x14ac:dyDescent="0.3">
      <c r="A140" s="5" t="s">
        <v>60</v>
      </c>
      <c r="B140" s="6">
        <v>45717</v>
      </c>
      <c r="C140" s="5" t="s">
        <v>28</v>
      </c>
      <c r="D140" s="5" t="s">
        <v>17</v>
      </c>
      <c r="E140" s="5">
        <v>69779</v>
      </c>
      <c r="F140" s="5">
        <v>6544</v>
      </c>
      <c r="G140" s="5">
        <v>0.152</v>
      </c>
      <c r="H140" s="5">
        <v>18</v>
      </c>
      <c r="I140" s="5">
        <v>90.2</v>
      </c>
      <c r="J140" s="5">
        <v>0.85</v>
      </c>
      <c r="K140" s="5">
        <v>1</v>
      </c>
      <c r="L140" s="5">
        <v>3.3</v>
      </c>
      <c r="M140" s="5">
        <v>758827.64</v>
      </c>
      <c r="N140" s="5">
        <v>161439.48000000001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 x14ac:dyDescent="0.3">
      <c r="A141" s="5" t="s">
        <v>60</v>
      </c>
      <c r="B141" s="6">
        <v>45748</v>
      </c>
      <c r="C141" s="5" t="s">
        <v>28</v>
      </c>
      <c r="D141" s="5" t="s">
        <v>17</v>
      </c>
      <c r="E141" s="5">
        <v>44211.95</v>
      </c>
      <c r="F141" s="5">
        <v>5465</v>
      </c>
      <c r="G141" s="5">
        <v>0.187</v>
      </c>
      <c r="H141" s="5">
        <v>12</v>
      </c>
      <c r="I141" s="5">
        <v>90</v>
      </c>
      <c r="J141" s="5">
        <v>2.89</v>
      </c>
      <c r="K141" s="5">
        <v>0</v>
      </c>
      <c r="L141" s="5">
        <v>3.6</v>
      </c>
      <c r="M141" s="5">
        <v>646559.71</v>
      </c>
      <c r="N141" s="5">
        <v>97981.75</v>
      </c>
      <c r="O141">
        <f t="shared" si="6"/>
        <v>0</v>
      </c>
      <c r="P141">
        <f t="shared" si="7"/>
        <v>0</v>
      </c>
      <c r="Q141">
        <f t="shared" si="8"/>
        <v>0</v>
      </c>
    </row>
    <row r="142" spans="1:17" x14ac:dyDescent="0.3">
      <c r="A142" s="5" t="s">
        <v>61</v>
      </c>
      <c r="B142" s="6">
        <v>45658</v>
      </c>
      <c r="C142" s="5" t="s">
        <v>31</v>
      </c>
      <c r="D142" s="5" t="s">
        <v>22</v>
      </c>
      <c r="E142" s="5">
        <v>51430.31</v>
      </c>
      <c r="F142" s="5">
        <v>6427</v>
      </c>
      <c r="G142" s="5">
        <v>0.23400000000000001</v>
      </c>
      <c r="H142" s="5">
        <v>14</v>
      </c>
      <c r="I142" s="5">
        <v>88.8</v>
      </c>
      <c r="J142" s="5">
        <v>0.77</v>
      </c>
      <c r="K142" s="5">
        <v>0</v>
      </c>
      <c r="L142" s="5">
        <v>4.0999999999999996</v>
      </c>
      <c r="M142" s="5">
        <v>715890.53</v>
      </c>
      <c r="N142" s="5">
        <v>109032.15</v>
      </c>
      <c r="O142">
        <f t="shared" si="6"/>
        <v>0</v>
      </c>
      <c r="P142">
        <f t="shared" si="7"/>
        <v>0</v>
      </c>
      <c r="Q142">
        <f t="shared" si="8"/>
        <v>1</v>
      </c>
    </row>
    <row r="143" spans="1:17" x14ac:dyDescent="0.3">
      <c r="A143" s="5" t="s">
        <v>61</v>
      </c>
      <c r="B143" s="6">
        <v>45689</v>
      </c>
      <c r="C143" s="5" t="s">
        <v>31</v>
      </c>
      <c r="D143" s="5" t="s">
        <v>22</v>
      </c>
      <c r="E143" s="5">
        <v>45706.49</v>
      </c>
      <c r="F143" s="5">
        <v>6704</v>
      </c>
      <c r="G143" s="5">
        <v>3.7999999999999999E-2</v>
      </c>
      <c r="H143" s="5">
        <v>15</v>
      </c>
      <c r="I143" s="5">
        <v>94.2</v>
      </c>
      <c r="J143" s="5">
        <v>2.92</v>
      </c>
      <c r="K143" s="5">
        <v>0</v>
      </c>
      <c r="L143" s="5">
        <v>4.2</v>
      </c>
      <c r="M143" s="5">
        <v>715097.57</v>
      </c>
      <c r="N143" s="5">
        <v>151875.85999999999</v>
      </c>
      <c r="O143">
        <f t="shared" si="6"/>
        <v>0</v>
      </c>
      <c r="P143">
        <f t="shared" si="7"/>
        <v>0</v>
      </c>
      <c r="Q143">
        <f t="shared" si="8"/>
        <v>1</v>
      </c>
    </row>
    <row r="144" spans="1:17" x14ac:dyDescent="0.3">
      <c r="A144" s="5" t="s">
        <v>61</v>
      </c>
      <c r="B144" s="6">
        <v>45717</v>
      </c>
      <c r="C144" s="5" t="s">
        <v>31</v>
      </c>
      <c r="D144" s="5" t="s">
        <v>22</v>
      </c>
      <c r="E144" s="5">
        <v>44034.6</v>
      </c>
      <c r="F144" s="5">
        <v>5645</v>
      </c>
      <c r="G144" s="5">
        <v>6.9000000000000006E-2</v>
      </c>
      <c r="H144" s="5">
        <v>18</v>
      </c>
      <c r="I144" s="5">
        <v>88.5</v>
      </c>
      <c r="J144" s="5">
        <v>3.07</v>
      </c>
      <c r="K144" s="5">
        <v>0</v>
      </c>
      <c r="L144" s="5">
        <v>3.8</v>
      </c>
      <c r="M144" s="5">
        <v>682639.28</v>
      </c>
      <c r="N144" s="5">
        <v>77557.53</v>
      </c>
      <c r="O144">
        <f t="shared" si="6"/>
        <v>0</v>
      </c>
      <c r="P144">
        <f t="shared" si="7"/>
        <v>0</v>
      </c>
      <c r="Q144">
        <f t="shared" si="8"/>
        <v>1</v>
      </c>
    </row>
    <row r="145" spans="1:17" x14ac:dyDescent="0.3">
      <c r="A145" s="5" t="s">
        <v>61</v>
      </c>
      <c r="B145" s="6">
        <v>45748</v>
      </c>
      <c r="C145" s="5" t="s">
        <v>31</v>
      </c>
      <c r="D145" s="5" t="s">
        <v>22</v>
      </c>
      <c r="E145" s="5">
        <v>50198.12</v>
      </c>
      <c r="F145" s="5">
        <v>6089</v>
      </c>
      <c r="G145" s="5">
        <v>0.182</v>
      </c>
      <c r="H145" s="5">
        <v>19</v>
      </c>
      <c r="I145" s="5">
        <v>94</v>
      </c>
      <c r="J145" s="5">
        <v>9.6999999999999993</v>
      </c>
      <c r="K145" s="5">
        <v>0</v>
      </c>
      <c r="L145" s="5">
        <v>3.9</v>
      </c>
      <c r="M145" s="5">
        <v>695098.51</v>
      </c>
      <c r="N145" s="5">
        <v>108192.75</v>
      </c>
      <c r="O145">
        <f t="shared" si="6"/>
        <v>0</v>
      </c>
      <c r="P145">
        <f t="shared" si="7"/>
        <v>0</v>
      </c>
      <c r="Q145">
        <f t="shared" si="8"/>
        <v>1</v>
      </c>
    </row>
    <row r="146" spans="1:17" x14ac:dyDescent="0.3">
      <c r="A146" s="5" t="s">
        <v>62</v>
      </c>
      <c r="B146" s="6">
        <v>45658</v>
      </c>
      <c r="C146" s="5" t="s">
        <v>24</v>
      </c>
      <c r="D146" s="5" t="s">
        <v>17</v>
      </c>
      <c r="E146" s="5">
        <v>70488.2</v>
      </c>
      <c r="F146" s="5">
        <v>4312</v>
      </c>
      <c r="G146" s="5">
        <v>0.16900000000000001</v>
      </c>
      <c r="H146" s="5">
        <v>12</v>
      </c>
      <c r="I146" s="5">
        <v>90.2</v>
      </c>
      <c r="J146" s="5">
        <v>3.71</v>
      </c>
      <c r="K146" s="5">
        <v>0</v>
      </c>
      <c r="L146" s="5">
        <v>3.2</v>
      </c>
      <c r="M146" s="5">
        <v>577732.56999999995</v>
      </c>
      <c r="N146" s="5">
        <v>93804.27</v>
      </c>
      <c r="O146">
        <f t="shared" si="6"/>
        <v>0</v>
      </c>
      <c r="P146">
        <f t="shared" si="7"/>
        <v>1</v>
      </c>
      <c r="Q146">
        <f t="shared" si="8"/>
        <v>0</v>
      </c>
    </row>
    <row r="147" spans="1:17" x14ac:dyDescent="0.3">
      <c r="A147" s="5" t="s">
        <v>62</v>
      </c>
      <c r="B147" s="6">
        <v>45689</v>
      </c>
      <c r="C147" s="5" t="s">
        <v>24</v>
      </c>
      <c r="D147" s="5" t="s">
        <v>17</v>
      </c>
      <c r="E147" s="5">
        <v>50909.27</v>
      </c>
      <c r="F147" s="5">
        <v>3152</v>
      </c>
      <c r="G147" s="5">
        <v>0.06</v>
      </c>
      <c r="H147" s="5">
        <v>13</v>
      </c>
      <c r="I147" s="5">
        <v>93.7</v>
      </c>
      <c r="J147" s="5">
        <v>10.79</v>
      </c>
      <c r="K147" s="5">
        <v>0</v>
      </c>
      <c r="L147" s="5">
        <v>3.5</v>
      </c>
      <c r="M147" s="5">
        <v>537058.32999999996</v>
      </c>
      <c r="N147" s="5">
        <v>93555.71</v>
      </c>
      <c r="O147">
        <f t="shared" si="6"/>
        <v>0</v>
      </c>
      <c r="P147">
        <f t="shared" si="7"/>
        <v>1</v>
      </c>
      <c r="Q147">
        <f t="shared" si="8"/>
        <v>0</v>
      </c>
    </row>
    <row r="148" spans="1:17" x14ac:dyDescent="0.3">
      <c r="A148" s="5" t="s">
        <v>62</v>
      </c>
      <c r="B148" s="6">
        <v>45717</v>
      </c>
      <c r="C148" s="5" t="s">
        <v>24</v>
      </c>
      <c r="D148" s="5" t="s">
        <v>17</v>
      </c>
      <c r="E148" s="5">
        <v>53351.7</v>
      </c>
      <c r="F148" s="5">
        <v>4259</v>
      </c>
      <c r="G148" s="5">
        <v>0.156</v>
      </c>
      <c r="H148" s="5">
        <v>15</v>
      </c>
      <c r="I148" s="5">
        <v>93.7</v>
      </c>
      <c r="J148" s="5">
        <v>6.03</v>
      </c>
      <c r="K148" s="5">
        <v>0</v>
      </c>
      <c r="L148" s="5">
        <v>3.4</v>
      </c>
      <c r="M148" s="5">
        <v>601568.87</v>
      </c>
      <c r="N148" s="5">
        <v>91634.82</v>
      </c>
      <c r="O148">
        <f t="shared" si="6"/>
        <v>0</v>
      </c>
      <c r="P148">
        <f t="shared" si="7"/>
        <v>1</v>
      </c>
      <c r="Q148">
        <f t="shared" si="8"/>
        <v>0</v>
      </c>
    </row>
    <row r="149" spans="1:17" x14ac:dyDescent="0.3">
      <c r="A149" s="5" t="s">
        <v>62</v>
      </c>
      <c r="B149" s="6">
        <v>45748</v>
      </c>
      <c r="C149" s="5" t="s">
        <v>24</v>
      </c>
      <c r="D149" s="5" t="s">
        <v>17</v>
      </c>
      <c r="E149" s="5">
        <v>60322.400000000001</v>
      </c>
      <c r="F149" s="5">
        <v>3350</v>
      </c>
      <c r="G149" s="5">
        <v>0.108</v>
      </c>
      <c r="H149" s="5">
        <v>12</v>
      </c>
      <c r="I149" s="5">
        <v>89.4</v>
      </c>
      <c r="J149" s="5">
        <v>4.92</v>
      </c>
      <c r="K149" s="5">
        <v>0</v>
      </c>
      <c r="L149" s="5">
        <v>3.4</v>
      </c>
      <c r="M149" s="5">
        <v>570964.84</v>
      </c>
      <c r="N149" s="5">
        <v>81331.070000000007</v>
      </c>
      <c r="O149">
        <f t="shared" si="6"/>
        <v>0</v>
      </c>
      <c r="P149">
        <f t="shared" si="7"/>
        <v>1</v>
      </c>
      <c r="Q149">
        <f t="shared" si="8"/>
        <v>0</v>
      </c>
    </row>
    <row r="150" spans="1:17" x14ac:dyDescent="0.3">
      <c r="A150" s="5" t="s">
        <v>63</v>
      </c>
      <c r="B150" s="6">
        <v>45658</v>
      </c>
      <c r="C150" s="5" t="s">
        <v>28</v>
      </c>
      <c r="D150" s="5" t="s">
        <v>32</v>
      </c>
      <c r="E150" s="5">
        <v>51575.68</v>
      </c>
      <c r="F150" s="5">
        <v>5329</v>
      </c>
      <c r="G150" s="5">
        <v>4.7E-2</v>
      </c>
      <c r="H150" s="5">
        <v>17</v>
      </c>
      <c r="I150" s="5">
        <v>88.1</v>
      </c>
      <c r="J150" s="5">
        <v>19.78</v>
      </c>
      <c r="K150" s="5">
        <v>0</v>
      </c>
      <c r="L150" s="5">
        <v>3.8</v>
      </c>
      <c r="M150" s="5">
        <v>614024.91</v>
      </c>
      <c r="N150" s="5">
        <v>84828.93</v>
      </c>
      <c r="O150">
        <f t="shared" si="6"/>
        <v>0</v>
      </c>
      <c r="P150">
        <f t="shared" si="7"/>
        <v>0</v>
      </c>
      <c r="Q150">
        <f t="shared" si="8"/>
        <v>0</v>
      </c>
    </row>
    <row r="151" spans="1:17" x14ac:dyDescent="0.3">
      <c r="A151" s="5" t="s">
        <v>63</v>
      </c>
      <c r="B151" s="6">
        <v>45689</v>
      </c>
      <c r="C151" s="5" t="s">
        <v>28</v>
      </c>
      <c r="D151" s="5" t="s">
        <v>32</v>
      </c>
      <c r="E151" s="5">
        <v>43319.94</v>
      </c>
      <c r="F151" s="5">
        <v>6551</v>
      </c>
      <c r="G151" s="5">
        <v>4.3999999999999997E-2</v>
      </c>
      <c r="H151" s="5">
        <v>13</v>
      </c>
      <c r="I151" s="5">
        <v>99</v>
      </c>
      <c r="J151" s="5">
        <v>5.45</v>
      </c>
      <c r="K151" s="5">
        <v>0</v>
      </c>
      <c r="L151" s="5">
        <v>4.0999999999999996</v>
      </c>
      <c r="M151" s="5">
        <v>712868.35</v>
      </c>
      <c r="N151" s="5">
        <v>133650.51</v>
      </c>
      <c r="O151">
        <f t="shared" si="6"/>
        <v>0</v>
      </c>
      <c r="P151">
        <f t="shared" si="7"/>
        <v>0</v>
      </c>
      <c r="Q151">
        <f t="shared" si="8"/>
        <v>0</v>
      </c>
    </row>
    <row r="152" spans="1:17" x14ac:dyDescent="0.3">
      <c r="A152" s="5" t="s">
        <v>63</v>
      </c>
      <c r="B152" s="6">
        <v>45717</v>
      </c>
      <c r="C152" s="5" t="s">
        <v>28</v>
      </c>
      <c r="D152" s="5" t="s">
        <v>32</v>
      </c>
      <c r="E152" s="5">
        <v>47093.55</v>
      </c>
      <c r="F152" s="5">
        <v>5550</v>
      </c>
      <c r="G152" s="5">
        <v>0.1</v>
      </c>
      <c r="H152" s="5">
        <v>12</v>
      </c>
      <c r="I152" s="5">
        <v>95</v>
      </c>
      <c r="J152" s="5">
        <v>2.33</v>
      </c>
      <c r="K152" s="5">
        <v>1</v>
      </c>
      <c r="L152" s="5">
        <v>3.7</v>
      </c>
      <c r="M152" s="5">
        <v>696744.15</v>
      </c>
      <c r="N152" s="5">
        <v>152230.09</v>
      </c>
      <c r="O152">
        <f t="shared" si="6"/>
        <v>0</v>
      </c>
      <c r="P152">
        <f t="shared" si="7"/>
        <v>0</v>
      </c>
      <c r="Q152">
        <f t="shared" si="8"/>
        <v>0</v>
      </c>
    </row>
    <row r="153" spans="1:17" x14ac:dyDescent="0.3">
      <c r="A153" s="5" t="s">
        <v>63</v>
      </c>
      <c r="B153" s="6">
        <v>45748</v>
      </c>
      <c r="C153" s="5" t="s">
        <v>28</v>
      </c>
      <c r="D153" s="5" t="s">
        <v>32</v>
      </c>
      <c r="E153" s="5">
        <v>71855.09</v>
      </c>
      <c r="F153" s="5">
        <v>5911</v>
      </c>
      <c r="G153" s="5">
        <v>0.19700000000000001</v>
      </c>
      <c r="H153" s="5">
        <v>15</v>
      </c>
      <c r="I153" s="5">
        <v>94.3</v>
      </c>
      <c r="J153" s="5">
        <v>3.55</v>
      </c>
      <c r="K153" s="5">
        <v>0</v>
      </c>
      <c r="L153" s="5">
        <v>4.0999999999999996</v>
      </c>
      <c r="M153" s="5">
        <v>725847.99</v>
      </c>
      <c r="N153" s="5">
        <v>122698.73</v>
      </c>
      <c r="O153">
        <f t="shared" si="6"/>
        <v>0</v>
      </c>
      <c r="P153">
        <f t="shared" si="7"/>
        <v>0</v>
      </c>
      <c r="Q153">
        <f t="shared" si="8"/>
        <v>0</v>
      </c>
    </row>
    <row r="154" spans="1:17" x14ac:dyDescent="0.3">
      <c r="A154" s="5" t="s">
        <v>64</v>
      </c>
      <c r="B154" s="6">
        <v>45658</v>
      </c>
      <c r="C154" s="5" t="s">
        <v>16</v>
      </c>
      <c r="D154" s="5" t="s">
        <v>22</v>
      </c>
      <c r="E154" s="5">
        <v>75645.23</v>
      </c>
      <c r="F154" s="5">
        <v>9674</v>
      </c>
      <c r="G154" s="5">
        <v>0.23400000000000001</v>
      </c>
      <c r="H154" s="5">
        <v>21</v>
      </c>
      <c r="I154" s="5">
        <v>87.4</v>
      </c>
      <c r="J154" s="5">
        <v>0.2</v>
      </c>
      <c r="K154" s="5">
        <v>0</v>
      </c>
      <c r="L154" s="5">
        <v>4.5</v>
      </c>
      <c r="M154" s="5">
        <v>785028.25</v>
      </c>
      <c r="N154" s="5">
        <v>110726.44</v>
      </c>
      <c r="O154">
        <f t="shared" si="6"/>
        <v>1</v>
      </c>
      <c r="P154">
        <f t="shared" si="7"/>
        <v>0</v>
      </c>
      <c r="Q154">
        <f t="shared" si="8"/>
        <v>0</v>
      </c>
    </row>
    <row r="155" spans="1:17" x14ac:dyDescent="0.3">
      <c r="A155" s="5" t="s">
        <v>64</v>
      </c>
      <c r="B155" s="6">
        <v>45689</v>
      </c>
      <c r="C155" s="5" t="s">
        <v>16</v>
      </c>
      <c r="D155" s="5" t="s">
        <v>22</v>
      </c>
      <c r="E155" s="5">
        <v>64374.75</v>
      </c>
      <c r="F155" s="5">
        <v>6740</v>
      </c>
      <c r="G155" s="5">
        <v>0.16900000000000001</v>
      </c>
      <c r="H155" s="5">
        <v>18</v>
      </c>
      <c r="I155" s="5">
        <v>87</v>
      </c>
      <c r="J155" s="5">
        <v>2.09</v>
      </c>
      <c r="K155" s="5">
        <v>0</v>
      </c>
      <c r="L155" s="5">
        <v>4.2</v>
      </c>
      <c r="M155" s="5">
        <v>698492.67</v>
      </c>
      <c r="N155" s="5">
        <v>117319.32</v>
      </c>
      <c r="O155">
        <f t="shared" si="6"/>
        <v>1</v>
      </c>
      <c r="P155">
        <f t="shared" si="7"/>
        <v>0</v>
      </c>
      <c r="Q155">
        <f t="shared" si="8"/>
        <v>0</v>
      </c>
    </row>
    <row r="156" spans="1:17" x14ac:dyDescent="0.3">
      <c r="A156" s="5" t="s">
        <v>64</v>
      </c>
      <c r="B156" s="6">
        <v>45717</v>
      </c>
      <c r="C156" s="5" t="s">
        <v>16</v>
      </c>
      <c r="D156" s="5" t="s">
        <v>22</v>
      </c>
      <c r="E156" s="5">
        <v>61433.84</v>
      </c>
      <c r="F156" s="5">
        <v>7745</v>
      </c>
      <c r="G156" s="5">
        <v>0.18</v>
      </c>
      <c r="H156" s="5">
        <v>16</v>
      </c>
      <c r="I156" s="5">
        <v>90.5</v>
      </c>
      <c r="J156" s="5">
        <v>2.2599999999999998</v>
      </c>
      <c r="K156" s="5">
        <v>0</v>
      </c>
      <c r="L156" s="5">
        <v>4.2</v>
      </c>
      <c r="M156" s="5">
        <v>685830.24</v>
      </c>
      <c r="N156" s="5">
        <v>128736.18</v>
      </c>
      <c r="O156">
        <f t="shared" si="6"/>
        <v>1</v>
      </c>
      <c r="P156">
        <f t="shared" si="7"/>
        <v>0</v>
      </c>
      <c r="Q156">
        <f t="shared" si="8"/>
        <v>0</v>
      </c>
    </row>
    <row r="157" spans="1:17" x14ac:dyDescent="0.3">
      <c r="A157" s="5" t="s">
        <v>64</v>
      </c>
      <c r="B157" s="6">
        <v>45748</v>
      </c>
      <c r="C157" s="5" t="s">
        <v>16</v>
      </c>
      <c r="D157" s="5" t="s">
        <v>22</v>
      </c>
      <c r="E157" s="5">
        <v>42698.14</v>
      </c>
      <c r="F157" s="5">
        <v>7693</v>
      </c>
      <c r="G157" s="5">
        <v>0.187</v>
      </c>
      <c r="H157" s="5">
        <v>19</v>
      </c>
      <c r="I157" s="5">
        <v>90.1</v>
      </c>
      <c r="J157" s="5">
        <v>0.44</v>
      </c>
      <c r="K157" s="5">
        <v>0</v>
      </c>
      <c r="L157" s="5">
        <v>4.4000000000000004</v>
      </c>
      <c r="M157" s="5">
        <v>702318.94</v>
      </c>
      <c r="N157" s="5">
        <v>112829.29</v>
      </c>
      <c r="O157">
        <f t="shared" si="6"/>
        <v>1</v>
      </c>
      <c r="P157">
        <f t="shared" si="7"/>
        <v>0</v>
      </c>
      <c r="Q157">
        <f t="shared" si="8"/>
        <v>0</v>
      </c>
    </row>
    <row r="158" spans="1:17" x14ac:dyDescent="0.3">
      <c r="A158" s="5" t="s">
        <v>65</v>
      </c>
      <c r="B158" s="6">
        <v>45658</v>
      </c>
      <c r="C158" s="5" t="s">
        <v>24</v>
      </c>
      <c r="D158" s="5" t="s">
        <v>32</v>
      </c>
      <c r="E158" s="5">
        <v>86883.31</v>
      </c>
      <c r="F158" s="5">
        <v>6424</v>
      </c>
      <c r="G158" s="5">
        <v>5.7000000000000002E-2</v>
      </c>
      <c r="H158" s="5">
        <v>19</v>
      </c>
      <c r="I158" s="5">
        <v>85.2</v>
      </c>
      <c r="J158" s="5">
        <v>3.08</v>
      </c>
      <c r="K158" s="5">
        <v>0</v>
      </c>
      <c r="L158" s="5">
        <v>3.9</v>
      </c>
      <c r="M158" s="5">
        <v>700078.32</v>
      </c>
      <c r="N158" s="5">
        <v>123707.58</v>
      </c>
      <c r="O158">
        <f t="shared" si="6"/>
        <v>0</v>
      </c>
      <c r="P158">
        <f t="shared" si="7"/>
        <v>1</v>
      </c>
      <c r="Q158">
        <f t="shared" si="8"/>
        <v>0</v>
      </c>
    </row>
    <row r="159" spans="1:17" x14ac:dyDescent="0.3">
      <c r="A159" s="5" t="s">
        <v>65</v>
      </c>
      <c r="B159" s="6">
        <v>45689</v>
      </c>
      <c r="C159" s="5" t="s">
        <v>24</v>
      </c>
      <c r="D159" s="5" t="s">
        <v>32</v>
      </c>
      <c r="E159" s="5">
        <v>41863.08</v>
      </c>
      <c r="F159" s="5">
        <v>5400</v>
      </c>
      <c r="G159" s="5">
        <v>0.114</v>
      </c>
      <c r="H159" s="5">
        <v>11</v>
      </c>
      <c r="I159" s="5">
        <v>91.6</v>
      </c>
      <c r="J159" s="5">
        <v>7.99</v>
      </c>
      <c r="K159" s="5">
        <v>0</v>
      </c>
      <c r="L159" s="5">
        <v>3</v>
      </c>
      <c r="M159" s="5">
        <v>602002.31999999995</v>
      </c>
      <c r="N159" s="5">
        <v>110453.28</v>
      </c>
      <c r="O159">
        <f t="shared" si="6"/>
        <v>0</v>
      </c>
      <c r="P159">
        <f t="shared" si="7"/>
        <v>1</v>
      </c>
      <c r="Q159">
        <f t="shared" si="8"/>
        <v>0</v>
      </c>
    </row>
    <row r="160" spans="1:17" x14ac:dyDescent="0.3">
      <c r="A160" s="5" t="s">
        <v>65</v>
      </c>
      <c r="B160" s="6">
        <v>45717</v>
      </c>
      <c r="C160" s="5" t="s">
        <v>24</v>
      </c>
      <c r="D160" s="5" t="s">
        <v>32</v>
      </c>
      <c r="E160" s="5">
        <v>56918.16</v>
      </c>
      <c r="F160" s="5">
        <v>7015</v>
      </c>
      <c r="G160" s="5">
        <v>0.158</v>
      </c>
      <c r="H160" s="5">
        <v>18</v>
      </c>
      <c r="I160" s="5">
        <v>74.2</v>
      </c>
      <c r="J160" s="5">
        <v>0.2</v>
      </c>
      <c r="K160" s="5">
        <v>0</v>
      </c>
      <c r="L160" s="5">
        <v>3.4</v>
      </c>
      <c r="M160" s="5">
        <v>724216.07</v>
      </c>
      <c r="N160" s="5">
        <v>100627.56</v>
      </c>
      <c r="O160">
        <f t="shared" si="6"/>
        <v>0</v>
      </c>
      <c r="P160">
        <f t="shared" si="7"/>
        <v>1</v>
      </c>
      <c r="Q160">
        <f t="shared" si="8"/>
        <v>0</v>
      </c>
    </row>
    <row r="161" spans="1:17" x14ac:dyDescent="0.3">
      <c r="A161" s="5" t="s">
        <v>65</v>
      </c>
      <c r="B161" s="6">
        <v>45748</v>
      </c>
      <c r="C161" s="5" t="s">
        <v>24</v>
      </c>
      <c r="D161" s="5" t="s">
        <v>32</v>
      </c>
      <c r="E161" s="5">
        <v>23254.57</v>
      </c>
      <c r="F161" s="5">
        <v>3847</v>
      </c>
      <c r="G161" s="5">
        <v>0.159</v>
      </c>
      <c r="H161" s="5">
        <v>12</v>
      </c>
      <c r="I161" s="5">
        <v>93</v>
      </c>
      <c r="J161" s="5">
        <v>5.46</v>
      </c>
      <c r="K161" s="5">
        <v>0</v>
      </c>
      <c r="L161" s="5">
        <v>3.3</v>
      </c>
      <c r="M161" s="5">
        <v>620973.03</v>
      </c>
      <c r="N161" s="5">
        <v>72303.850000000006</v>
      </c>
      <c r="O161">
        <f t="shared" si="6"/>
        <v>0</v>
      </c>
      <c r="P161">
        <f t="shared" si="7"/>
        <v>1</v>
      </c>
      <c r="Q161">
        <f t="shared" si="8"/>
        <v>0</v>
      </c>
    </row>
    <row r="162" spans="1:17" x14ac:dyDescent="0.3">
      <c r="A162" s="5" t="s">
        <v>66</v>
      </c>
      <c r="B162" s="6">
        <v>45658</v>
      </c>
      <c r="C162" s="5" t="s">
        <v>28</v>
      </c>
      <c r="D162" s="5" t="s">
        <v>22</v>
      </c>
      <c r="E162" s="5">
        <v>41443.410000000003</v>
      </c>
      <c r="F162" s="5">
        <v>7455</v>
      </c>
      <c r="G162" s="5">
        <v>0.17499999999999999</v>
      </c>
      <c r="H162" s="5">
        <v>16</v>
      </c>
      <c r="I162" s="5">
        <v>90.1</v>
      </c>
      <c r="J162" s="5">
        <v>4.05</v>
      </c>
      <c r="K162" s="5">
        <v>0</v>
      </c>
      <c r="L162" s="5">
        <v>4</v>
      </c>
      <c r="M162" s="5">
        <v>650480.06000000006</v>
      </c>
      <c r="N162" s="5">
        <v>109012.07</v>
      </c>
      <c r="O162">
        <f t="shared" si="6"/>
        <v>0</v>
      </c>
      <c r="P162">
        <f t="shared" si="7"/>
        <v>0</v>
      </c>
      <c r="Q162">
        <f t="shared" si="8"/>
        <v>0</v>
      </c>
    </row>
    <row r="163" spans="1:17" x14ac:dyDescent="0.3">
      <c r="A163" s="5" t="s">
        <v>66</v>
      </c>
      <c r="B163" s="6">
        <v>45689</v>
      </c>
      <c r="C163" s="5" t="s">
        <v>28</v>
      </c>
      <c r="D163" s="5" t="s">
        <v>22</v>
      </c>
      <c r="E163" s="5">
        <v>48438.85</v>
      </c>
      <c r="F163" s="5">
        <v>6992</v>
      </c>
      <c r="G163" s="5">
        <v>3.4000000000000002E-2</v>
      </c>
      <c r="H163" s="5">
        <v>20</v>
      </c>
      <c r="I163" s="5">
        <v>91</v>
      </c>
      <c r="J163" s="5">
        <v>4.3600000000000003</v>
      </c>
      <c r="K163" s="5">
        <v>0</v>
      </c>
      <c r="L163" s="5">
        <v>4.2</v>
      </c>
      <c r="M163" s="5">
        <v>778298.88</v>
      </c>
      <c r="N163" s="5">
        <v>130076.72</v>
      </c>
      <c r="O163">
        <f t="shared" si="6"/>
        <v>0</v>
      </c>
      <c r="P163">
        <f t="shared" si="7"/>
        <v>0</v>
      </c>
      <c r="Q163">
        <f t="shared" si="8"/>
        <v>0</v>
      </c>
    </row>
    <row r="164" spans="1:17" x14ac:dyDescent="0.3">
      <c r="A164" s="5" t="s">
        <v>66</v>
      </c>
      <c r="B164" s="6">
        <v>45717</v>
      </c>
      <c r="C164" s="5" t="s">
        <v>28</v>
      </c>
      <c r="D164" s="5" t="s">
        <v>22</v>
      </c>
      <c r="E164" s="5">
        <v>57143.3</v>
      </c>
      <c r="F164" s="5">
        <v>8038</v>
      </c>
      <c r="G164" s="5">
        <v>0.193</v>
      </c>
      <c r="H164" s="5">
        <v>17</v>
      </c>
      <c r="I164" s="5">
        <v>72.599999999999994</v>
      </c>
      <c r="J164" s="5">
        <v>4.5590450000000002</v>
      </c>
      <c r="K164" s="5">
        <v>0</v>
      </c>
      <c r="L164" s="5">
        <v>4.2</v>
      </c>
      <c r="M164" s="5">
        <v>677096.71</v>
      </c>
      <c r="N164" s="5">
        <v>97174.11</v>
      </c>
      <c r="O164">
        <f t="shared" si="6"/>
        <v>0</v>
      </c>
      <c r="P164">
        <f t="shared" si="7"/>
        <v>0</v>
      </c>
      <c r="Q164">
        <f t="shared" si="8"/>
        <v>0</v>
      </c>
    </row>
    <row r="165" spans="1:17" x14ac:dyDescent="0.3">
      <c r="A165" s="5" t="s">
        <v>66</v>
      </c>
      <c r="B165" s="6">
        <v>45748</v>
      </c>
      <c r="C165" s="5" t="s">
        <v>28</v>
      </c>
      <c r="D165" s="5" t="s">
        <v>22</v>
      </c>
      <c r="E165" s="5">
        <v>66870.62</v>
      </c>
      <c r="F165" s="5">
        <v>6055</v>
      </c>
      <c r="G165" s="5">
        <v>7.4999999999999997E-2</v>
      </c>
      <c r="H165" s="5">
        <v>19</v>
      </c>
      <c r="I165" s="5">
        <v>93.8</v>
      </c>
      <c r="J165" s="5">
        <v>0.54</v>
      </c>
      <c r="K165" s="5">
        <v>0</v>
      </c>
      <c r="L165" s="5">
        <v>4.3</v>
      </c>
      <c r="M165" s="5">
        <v>692008.64</v>
      </c>
      <c r="N165" s="5">
        <v>116337.87</v>
      </c>
      <c r="O165">
        <f t="shared" si="6"/>
        <v>0</v>
      </c>
      <c r="P165">
        <f t="shared" si="7"/>
        <v>0</v>
      </c>
      <c r="Q165">
        <f t="shared" si="8"/>
        <v>0</v>
      </c>
    </row>
    <row r="166" spans="1:17" x14ac:dyDescent="0.3">
      <c r="A166" s="5" t="s">
        <v>67</v>
      </c>
      <c r="B166" s="6">
        <v>45658</v>
      </c>
      <c r="C166" s="5" t="s">
        <v>24</v>
      </c>
      <c r="D166" s="5" t="s">
        <v>32</v>
      </c>
      <c r="E166" s="5">
        <v>72150.53</v>
      </c>
      <c r="F166" s="5">
        <v>9323</v>
      </c>
      <c r="G166" s="5">
        <v>0.157</v>
      </c>
      <c r="H166" s="5">
        <v>22</v>
      </c>
      <c r="I166" s="5">
        <v>82.9</v>
      </c>
      <c r="J166" s="5">
        <v>11.37</v>
      </c>
      <c r="K166" s="5">
        <v>1</v>
      </c>
      <c r="L166" s="5">
        <v>4.3</v>
      </c>
      <c r="M166" s="5">
        <v>825797.91</v>
      </c>
      <c r="N166" s="5">
        <v>130945.24</v>
      </c>
      <c r="O166">
        <f t="shared" si="6"/>
        <v>0</v>
      </c>
      <c r="P166">
        <f t="shared" si="7"/>
        <v>1</v>
      </c>
      <c r="Q166">
        <f t="shared" si="8"/>
        <v>0</v>
      </c>
    </row>
    <row r="167" spans="1:17" x14ac:dyDescent="0.3">
      <c r="A167" s="5" t="s">
        <v>67</v>
      </c>
      <c r="B167" s="6">
        <v>45689</v>
      </c>
      <c r="C167" s="5" t="s">
        <v>24</v>
      </c>
      <c r="D167" s="5" t="s">
        <v>32</v>
      </c>
      <c r="E167" s="5">
        <v>35303.300000000003</v>
      </c>
      <c r="F167" s="5">
        <v>8789</v>
      </c>
      <c r="G167" s="5">
        <v>0.123</v>
      </c>
      <c r="H167" s="5">
        <v>22</v>
      </c>
      <c r="I167" s="5">
        <v>86.1</v>
      </c>
      <c r="J167" s="5">
        <v>9.43</v>
      </c>
      <c r="K167" s="5">
        <v>0</v>
      </c>
      <c r="L167" s="5">
        <v>4.2</v>
      </c>
      <c r="M167" s="5">
        <v>706285.52</v>
      </c>
      <c r="N167" s="5">
        <v>138014.72</v>
      </c>
      <c r="O167">
        <f t="shared" si="6"/>
        <v>0</v>
      </c>
      <c r="P167">
        <f t="shared" si="7"/>
        <v>1</v>
      </c>
      <c r="Q167">
        <f t="shared" si="8"/>
        <v>0</v>
      </c>
    </row>
    <row r="168" spans="1:17" x14ac:dyDescent="0.3">
      <c r="A168" s="5" t="s">
        <v>67</v>
      </c>
      <c r="B168" s="6">
        <v>45717</v>
      </c>
      <c r="C168" s="5" t="s">
        <v>24</v>
      </c>
      <c r="D168" s="5" t="s">
        <v>32</v>
      </c>
      <c r="E168" s="5">
        <v>30301.86</v>
      </c>
      <c r="F168" s="5">
        <v>6939</v>
      </c>
      <c r="G168" s="5">
        <v>0.09</v>
      </c>
      <c r="H168" s="5">
        <v>16</v>
      </c>
      <c r="I168" s="5">
        <v>90.3</v>
      </c>
      <c r="J168" s="5">
        <v>3.49</v>
      </c>
      <c r="K168" s="5">
        <v>0</v>
      </c>
      <c r="L168" s="5">
        <v>4</v>
      </c>
      <c r="M168" s="5">
        <v>665534.69999999995</v>
      </c>
      <c r="N168" s="5">
        <v>113167.73</v>
      </c>
      <c r="O168">
        <f t="shared" si="6"/>
        <v>0</v>
      </c>
      <c r="P168">
        <f t="shared" si="7"/>
        <v>1</v>
      </c>
      <c r="Q168">
        <f t="shared" si="8"/>
        <v>0</v>
      </c>
    </row>
    <row r="169" spans="1:17" x14ac:dyDescent="0.3">
      <c r="A169" s="5" t="s">
        <v>67</v>
      </c>
      <c r="B169" s="6">
        <v>45748</v>
      </c>
      <c r="C169" s="5" t="s">
        <v>24</v>
      </c>
      <c r="D169" s="5" t="s">
        <v>32</v>
      </c>
      <c r="E169" s="5">
        <v>78432.14</v>
      </c>
      <c r="F169" s="5">
        <v>9440</v>
      </c>
      <c r="G169" s="5">
        <v>0.126</v>
      </c>
      <c r="H169" s="5">
        <v>23</v>
      </c>
      <c r="I169" s="5">
        <v>89.2</v>
      </c>
      <c r="J169" s="5">
        <v>7.86</v>
      </c>
      <c r="K169" s="5">
        <v>0</v>
      </c>
      <c r="L169" s="5">
        <v>4.0999999999999996</v>
      </c>
      <c r="M169" s="5">
        <v>820729.29</v>
      </c>
      <c r="N169" s="5">
        <v>159325.47</v>
      </c>
      <c r="O169">
        <f t="shared" si="6"/>
        <v>0</v>
      </c>
      <c r="P169">
        <f t="shared" si="7"/>
        <v>1</v>
      </c>
      <c r="Q169">
        <f t="shared" si="8"/>
        <v>0</v>
      </c>
    </row>
    <row r="170" spans="1:17" x14ac:dyDescent="0.3">
      <c r="A170" s="5" t="s">
        <v>68</v>
      </c>
      <c r="B170" s="6">
        <v>45658</v>
      </c>
      <c r="C170" s="5" t="s">
        <v>16</v>
      </c>
      <c r="D170" s="5" t="s">
        <v>17</v>
      </c>
      <c r="E170" s="5">
        <v>62059.18</v>
      </c>
      <c r="F170" s="5">
        <v>9374</v>
      </c>
      <c r="G170" s="5">
        <v>0.13600000000000001</v>
      </c>
      <c r="H170" s="5">
        <v>25</v>
      </c>
      <c r="I170" s="5">
        <v>87.1</v>
      </c>
      <c r="J170" s="5">
        <v>12.55</v>
      </c>
      <c r="K170" s="5">
        <v>0</v>
      </c>
      <c r="L170" s="5">
        <v>4.9000000000000004</v>
      </c>
      <c r="M170" s="5">
        <v>739831.73</v>
      </c>
      <c r="N170" s="5">
        <v>119490.21</v>
      </c>
      <c r="O170">
        <f t="shared" si="6"/>
        <v>1</v>
      </c>
      <c r="P170">
        <f t="shared" si="7"/>
        <v>0</v>
      </c>
      <c r="Q170">
        <f t="shared" si="8"/>
        <v>0</v>
      </c>
    </row>
    <row r="171" spans="1:17" x14ac:dyDescent="0.3">
      <c r="A171" s="5" t="s">
        <v>68</v>
      </c>
      <c r="B171" s="6">
        <v>45689</v>
      </c>
      <c r="C171" s="5" t="s">
        <v>16</v>
      </c>
      <c r="D171" s="5" t="s">
        <v>17</v>
      </c>
      <c r="E171" s="5">
        <v>32834.480000000003</v>
      </c>
      <c r="F171" s="5">
        <v>7576</v>
      </c>
      <c r="G171" s="5">
        <v>9.9000000000000005E-2</v>
      </c>
      <c r="H171" s="5">
        <v>15</v>
      </c>
      <c r="I171" s="5">
        <v>84.1</v>
      </c>
      <c r="J171" s="5">
        <v>3.48</v>
      </c>
      <c r="K171" s="5">
        <v>0</v>
      </c>
      <c r="L171" s="5">
        <v>5</v>
      </c>
      <c r="M171" s="5">
        <v>593637.14</v>
      </c>
      <c r="N171" s="5">
        <v>106648.14</v>
      </c>
      <c r="O171">
        <f t="shared" si="6"/>
        <v>1</v>
      </c>
      <c r="P171">
        <f t="shared" si="7"/>
        <v>0</v>
      </c>
      <c r="Q171">
        <f t="shared" si="8"/>
        <v>0</v>
      </c>
    </row>
    <row r="172" spans="1:17" x14ac:dyDescent="0.3">
      <c r="A172" s="5" t="s">
        <v>68</v>
      </c>
      <c r="B172" s="6">
        <v>45717</v>
      </c>
      <c r="C172" s="5" t="s">
        <v>16</v>
      </c>
      <c r="D172" s="5" t="s">
        <v>17</v>
      </c>
      <c r="E172" s="5">
        <v>50825.08</v>
      </c>
      <c r="F172" s="5">
        <v>8949</v>
      </c>
      <c r="G172" s="5">
        <v>0.157</v>
      </c>
      <c r="H172" s="5">
        <v>21</v>
      </c>
      <c r="I172" s="5">
        <v>84.7</v>
      </c>
      <c r="J172" s="5">
        <v>7.73</v>
      </c>
      <c r="K172" s="5">
        <v>0</v>
      </c>
      <c r="L172" s="5">
        <v>4.9000000000000004</v>
      </c>
      <c r="M172" s="5">
        <v>769702.76</v>
      </c>
      <c r="N172" s="5">
        <v>158697</v>
      </c>
      <c r="O172">
        <f t="shared" si="6"/>
        <v>1</v>
      </c>
      <c r="P172">
        <f t="shared" si="7"/>
        <v>0</v>
      </c>
      <c r="Q172">
        <f t="shared" si="8"/>
        <v>0</v>
      </c>
    </row>
    <row r="173" spans="1:17" x14ac:dyDescent="0.3">
      <c r="A173" s="5" t="s">
        <v>68</v>
      </c>
      <c r="B173" s="6">
        <v>45748</v>
      </c>
      <c r="C173" s="5" t="s">
        <v>16</v>
      </c>
      <c r="D173" s="5" t="s">
        <v>17</v>
      </c>
      <c r="E173" s="5">
        <v>36606.51</v>
      </c>
      <c r="F173" s="5">
        <v>7671</v>
      </c>
      <c r="G173" s="5">
        <v>0.11799999999999999</v>
      </c>
      <c r="H173" s="5">
        <v>18</v>
      </c>
      <c r="I173" s="5">
        <v>89.8</v>
      </c>
      <c r="J173" s="5">
        <v>0.25</v>
      </c>
      <c r="K173" s="5">
        <v>0</v>
      </c>
      <c r="L173" s="5">
        <v>4.4000000000000004</v>
      </c>
      <c r="M173" s="5">
        <v>679731.57</v>
      </c>
      <c r="N173" s="5">
        <v>121546.42</v>
      </c>
      <c r="O173">
        <f t="shared" si="6"/>
        <v>1</v>
      </c>
      <c r="P173">
        <f t="shared" si="7"/>
        <v>0</v>
      </c>
      <c r="Q173">
        <f t="shared" si="8"/>
        <v>0</v>
      </c>
    </row>
    <row r="174" spans="1:17" x14ac:dyDescent="0.3">
      <c r="A174" s="5" t="s">
        <v>69</v>
      </c>
      <c r="B174" s="6">
        <v>45658</v>
      </c>
      <c r="C174" s="5" t="s">
        <v>16</v>
      </c>
      <c r="D174" s="5" t="s">
        <v>17</v>
      </c>
      <c r="E174" s="5">
        <v>65237.79</v>
      </c>
      <c r="F174" s="5">
        <v>8741</v>
      </c>
      <c r="G174" s="5">
        <v>0.157</v>
      </c>
      <c r="H174" s="5">
        <v>20</v>
      </c>
      <c r="I174" s="5">
        <v>94.4</v>
      </c>
      <c r="J174" s="5">
        <v>6.43</v>
      </c>
      <c r="K174" s="5">
        <v>0</v>
      </c>
      <c r="L174" s="5">
        <v>3.3</v>
      </c>
      <c r="M174" s="5">
        <v>780344.18</v>
      </c>
      <c r="N174" s="5">
        <v>118239.09</v>
      </c>
      <c r="O174">
        <f t="shared" si="6"/>
        <v>1</v>
      </c>
      <c r="P174">
        <f t="shared" si="7"/>
        <v>0</v>
      </c>
      <c r="Q174">
        <f t="shared" si="8"/>
        <v>0</v>
      </c>
    </row>
    <row r="175" spans="1:17" x14ac:dyDescent="0.3">
      <c r="A175" s="5" t="s">
        <v>69</v>
      </c>
      <c r="B175" s="6">
        <v>45689</v>
      </c>
      <c r="C175" s="5" t="s">
        <v>16</v>
      </c>
      <c r="D175" s="5" t="s">
        <v>17</v>
      </c>
      <c r="E175" s="5">
        <v>43645.98</v>
      </c>
      <c r="F175" s="5">
        <v>9480</v>
      </c>
      <c r="G175" s="5">
        <v>0.109</v>
      </c>
      <c r="H175" s="5">
        <v>22</v>
      </c>
      <c r="I175" s="5">
        <v>89</v>
      </c>
      <c r="J175" s="5">
        <v>2.11</v>
      </c>
      <c r="K175" s="5">
        <v>0</v>
      </c>
      <c r="L175" s="5">
        <v>3.1</v>
      </c>
      <c r="M175" s="5">
        <v>721364.11</v>
      </c>
      <c r="N175" s="5">
        <v>147272.81</v>
      </c>
      <c r="O175">
        <f t="shared" si="6"/>
        <v>1</v>
      </c>
      <c r="P175">
        <f t="shared" si="7"/>
        <v>0</v>
      </c>
      <c r="Q175">
        <f t="shared" si="8"/>
        <v>0</v>
      </c>
    </row>
    <row r="176" spans="1:17" x14ac:dyDescent="0.3">
      <c r="A176" s="5" t="s">
        <v>69</v>
      </c>
      <c r="B176" s="6">
        <v>45717</v>
      </c>
      <c r="C176" s="5" t="s">
        <v>16</v>
      </c>
      <c r="D176" s="5" t="s">
        <v>17</v>
      </c>
      <c r="E176" s="5">
        <v>68040.149999999994</v>
      </c>
      <c r="F176" s="5">
        <v>9826</v>
      </c>
      <c r="G176" s="5">
        <v>0.125</v>
      </c>
      <c r="H176" s="5">
        <v>20</v>
      </c>
      <c r="I176" s="5">
        <v>83.9</v>
      </c>
      <c r="J176" s="5">
        <v>9.1199999999999992</v>
      </c>
      <c r="K176" s="5">
        <v>0</v>
      </c>
      <c r="L176" s="5">
        <v>3.6</v>
      </c>
      <c r="M176" s="5">
        <v>758138.29</v>
      </c>
      <c r="N176" s="5">
        <v>132975.26</v>
      </c>
      <c r="O176">
        <f t="shared" si="6"/>
        <v>1</v>
      </c>
      <c r="P176">
        <f t="shared" si="7"/>
        <v>0</v>
      </c>
      <c r="Q176">
        <f t="shared" si="8"/>
        <v>0</v>
      </c>
    </row>
    <row r="177" spans="1:17" x14ac:dyDescent="0.3">
      <c r="A177" s="5" t="s">
        <v>69</v>
      </c>
      <c r="B177" s="6">
        <v>45748</v>
      </c>
      <c r="C177" s="5" t="s">
        <v>16</v>
      </c>
      <c r="D177" s="5" t="s">
        <v>17</v>
      </c>
      <c r="E177" s="5">
        <v>63043.94</v>
      </c>
      <c r="F177" s="5">
        <v>10402</v>
      </c>
      <c r="G177" s="5">
        <v>0.159</v>
      </c>
      <c r="H177" s="5">
        <v>23</v>
      </c>
      <c r="I177" s="5">
        <v>93.9</v>
      </c>
      <c r="J177" s="5">
        <v>2.71</v>
      </c>
      <c r="K177" s="5">
        <v>0</v>
      </c>
      <c r="L177" s="5">
        <v>3.1</v>
      </c>
      <c r="M177" s="5">
        <v>804264</v>
      </c>
      <c r="N177" s="5">
        <v>167117.91</v>
      </c>
      <c r="O177">
        <f t="shared" si="6"/>
        <v>1</v>
      </c>
      <c r="P177">
        <f t="shared" si="7"/>
        <v>0</v>
      </c>
      <c r="Q177">
        <f t="shared" si="8"/>
        <v>0</v>
      </c>
    </row>
    <row r="178" spans="1:17" x14ac:dyDescent="0.3">
      <c r="A178" s="5" t="s">
        <v>70</v>
      </c>
      <c r="B178" s="6">
        <v>45658</v>
      </c>
      <c r="C178" s="5" t="s">
        <v>31</v>
      </c>
      <c r="D178" s="5" t="s">
        <v>25</v>
      </c>
      <c r="E178" s="5">
        <v>67494.09</v>
      </c>
      <c r="F178" s="5">
        <v>12361</v>
      </c>
      <c r="G178" s="5">
        <v>4.5999999999999999E-2</v>
      </c>
      <c r="H178" s="5">
        <v>24</v>
      </c>
      <c r="I178" s="5">
        <v>76.599999999999994</v>
      </c>
      <c r="J178" s="5">
        <v>3.65</v>
      </c>
      <c r="K178" s="5">
        <v>1</v>
      </c>
      <c r="L178" s="5">
        <v>3.7</v>
      </c>
      <c r="M178" s="5">
        <v>887537.75</v>
      </c>
      <c r="N178" s="5">
        <v>160362.92000000001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 x14ac:dyDescent="0.3">
      <c r="A179" s="5" t="s">
        <v>70</v>
      </c>
      <c r="B179" s="6">
        <v>45689</v>
      </c>
      <c r="C179" s="5" t="s">
        <v>31</v>
      </c>
      <c r="D179" s="5" t="s">
        <v>25</v>
      </c>
      <c r="E179" s="5">
        <v>29389.32</v>
      </c>
      <c r="F179" s="5">
        <v>7925</v>
      </c>
      <c r="G179" s="5">
        <v>0.17699999999999999</v>
      </c>
      <c r="H179" s="5">
        <v>21</v>
      </c>
      <c r="I179" s="5">
        <v>90.9</v>
      </c>
      <c r="J179" s="5">
        <v>7.86</v>
      </c>
      <c r="K179" s="5">
        <v>0</v>
      </c>
      <c r="L179" s="5">
        <v>4</v>
      </c>
      <c r="M179" s="5">
        <v>783582</v>
      </c>
      <c r="N179" s="5">
        <v>130670.93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 x14ac:dyDescent="0.3">
      <c r="A180" s="5" t="s">
        <v>70</v>
      </c>
      <c r="B180" s="6">
        <v>45717</v>
      </c>
      <c r="C180" s="5" t="s">
        <v>31</v>
      </c>
      <c r="D180" s="5" t="s">
        <v>25</v>
      </c>
      <c r="E180" s="5">
        <v>40535.089999999997</v>
      </c>
      <c r="F180" s="5">
        <v>8870</v>
      </c>
      <c r="G180" s="5">
        <v>4.1000000000000002E-2</v>
      </c>
      <c r="H180" s="5">
        <v>21</v>
      </c>
      <c r="I180" s="5">
        <v>86.6</v>
      </c>
      <c r="J180" s="5">
        <v>0.3</v>
      </c>
      <c r="K180" s="5">
        <v>0</v>
      </c>
      <c r="L180" s="5">
        <v>4.0999999999999996</v>
      </c>
      <c r="M180" s="5">
        <v>781955.52</v>
      </c>
      <c r="N180" s="5">
        <v>152578.71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 x14ac:dyDescent="0.3">
      <c r="A181" s="5" t="s">
        <v>70</v>
      </c>
      <c r="B181" s="6">
        <v>45748</v>
      </c>
      <c r="C181" s="5" t="s">
        <v>31</v>
      </c>
      <c r="D181" s="5" t="s">
        <v>25</v>
      </c>
      <c r="E181" s="5">
        <v>74881.56</v>
      </c>
      <c r="F181" s="5">
        <v>9999</v>
      </c>
      <c r="G181" s="5">
        <v>1.2999999999999999E-2</v>
      </c>
      <c r="H181" s="5">
        <v>20</v>
      </c>
      <c r="I181" s="5">
        <v>89.6</v>
      </c>
      <c r="J181" s="5">
        <v>8.44</v>
      </c>
      <c r="K181" s="5">
        <v>0</v>
      </c>
      <c r="L181" s="5">
        <v>4.0999999999999996</v>
      </c>
      <c r="M181" s="5">
        <v>898031.04</v>
      </c>
      <c r="N181" s="5">
        <v>138666.5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 x14ac:dyDescent="0.3">
      <c r="A182" s="5" t="s">
        <v>71</v>
      </c>
      <c r="B182" s="6">
        <v>45658</v>
      </c>
      <c r="C182" s="5" t="s">
        <v>31</v>
      </c>
      <c r="D182" s="5" t="s">
        <v>17</v>
      </c>
      <c r="E182" s="5">
        <v>68491.11</v>
      </c>
      <c r="F182" s="5">
        <v>11154</v>
      </c>
      <c r="G182" s="5">
        <v>1E-3</v>
      </c>
      <c r="H182" s="5">
        <v>24</v>
      </c>
      <c r="I182" s="5">
        <v>89.4</v>
      </c>
      <c r="J182" s="5">
        <v>5.27</v>
      </c>
      <c r="K182" s="5">
        <v>1</v>
      </c>
      <c r="L182" s="5">
        <v>3.9</v>
      </c>
      <c r="M182" s="5">
        <v>855341.28</v>
      </c>
      <c r="N182" s="5">
        <v>175823.8</v>
      </c>
      <c r="O182">
        <f t="shared" si="6"/>
        <v>0</v>
      </c>
      <c r="P182">
        <f t="shared" si="7"/>
        <v>0</v>
      </c>
      <c r="Q182">
        <f t="shared" si="8"/>
        <v>1</v>
      </c>
    </row>
    <row r="183" spans="1:17" x14ac:dyDescent="0.3">
      <c r="A183" s="5" t="s">
        <v>71</v>
      </c>
      <c r="B183" s="6">
        <v>45689</v>
      </c>
      <c r="C183" s="5" t="s">
        <v>31</v>
      </c>
      <c r="D183" s="5" t="s">
        <v>17</v>
      </c>
      <c r="E183" s="5">
        <v>45209.25</v>
      </c>
      <c r="F183" s="5">
        <v>9287</v>
      </c>
      <c r="G183" s="5">
        <v>0.14099999999999999</v>
      </c>
      <c r="H183" s="5">
        <v>22</v>
      </c>
      <c r="I183" s="5">
        <v>86.4</v>
      </c>
      <c r="J183" s="5">
        <v>13.22</v>
      </c>
      <c r="K183" s="5">
        <v>0</v>
      </c>
      <c r="L183" s="5">
        <v>3.6</v>
      </c>
      <c r="M183" s="5">
        <v>751393.88</v>
      </c>
      <c r="N183" s="5">
        <v>91480.320000000007</v>
      </c>
      <c r="O183">
        <f t="shared" si="6"/>
        <v>0</v>
      </c>
      <c r="P183">
        <f t="shared" si="7"/>
        <v>0</v>
      </c>
      <c r="Q183">
        <f t="shared" si="8"/>
        <v>1</v>
      </c>
    </row>
    <row r="184" spans="1:17" x14ac:dyDescent="0.3">
      <c r="A184" s="5" t="s">
        <v>71</v>
      </c>
      <c r="B184" s="6">
        <v>45717</v>
      </c>
      <c r="C184" s="5" t="s">
        <v>31</v>
      </c>
      <c r="D184" s="5" t="s">
        <v>17</v>
      </c>
      <c r="E184" s="5">
        <v>63010.23</v>
      </c>
      <c r="F184" s="5">
        <v>9812</v>
      </c>
      <c r="G184" s="5">
        <v>0.113</v>
      </c>
      <c r="H184" s="5">
        <v>24</v>
      </c>
      <c r="I184" s="5">
        <v>76.8</v>
      </c>
      <c r="J184" s="5">
        <v>1.02</v>
      </c>
      <c r="K184" s="5">
        <v>1</v>
      </c>
      <c r="L184" s="5">
        <v>3.8</v>
      </c>
      <c r="M184" s="5">
        <v>761077.08</v>
      </c>
      <c r="N184" s="5">
        <v>113605.93</v>
      </c>
      <c r="O184">
        <f t="shared" si="6"/>
        <v>0</v>
      </c>
      <c r="P184">
        <f t="shared" si="7"/>
        <v>0</v>
      </c>
      <c r="Q184">
        <f t="shared" si="8"/>
        <v>1</v>
      </c>
    </row>
    <row r="185" spans="1:17" x14ac:dyDescent="0.3">
      <c r="A185" s="5" t="s">
        <v>71</v>
      </c>
      <c r="B185" s="6">
        <v>45748</v>
      </c>
      <c r="C185" s="5" t="s">
        <v>31</v>
      </c>
      <c r="D185" s="5" t="s">
        <v>17</v>
      </c>
      <c r="E185" s="5">
        <v>57948.88</v>
      </c>
      <c r="F185" s="5">
        <v>10741</v>
      </c>
      <c r="G185" s="5">
        <v>7.0000000000000007E-2</v>
      </c>
      <c r="H185" s="5">
        <v>25</v>
      </c>
      <c r="I185" s="5">
        <v>90.1</v>
      </c>
      <c r="J185" s="5">
        <v>4.03</v>
      </c>
      <c r="K185" s="5">
        <v>0</v>
      </c>
      <c r="L185" s="5">
        <v>3.1</v>
      </c>
      <c r="M185" s="5">
        <v>819660.59</v>
      </c>
      <c r="N185" s="5">
        <v>172699.95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 x14ac:dyDescent="0.3">
      <c r="A186" s="5" t="s">
        <v>72</v>
      </c>
      <c r="B186" s="6">
        <v>45658</v>
      </c>
      <c r="C186" s="5" t="s">
        <v>24</v>
      </c>
      <c r="D186" s="5" t="s">
        <v>22</v>
      </c>
      <c r="E186" s="5">
        <v>71941.62</v>
      </c>
      <c r="F186" s="5">
        <v>6084</v>
      </c>
      <c r="G186" s="5">
        <v>7.1999999999999995E-2</v>
      </c>
      <c r="H186" s="5">
        <v>13</v>
      </c>
      <c r="I186" s="5">
        <v>93.7</v>
      </c>
      <c r="J186" s="5">
        <v>2.34</v>
      </c>
      <c r="K186" s="5">
        <v>0</v>
      </c>
      <c r="L186" s="5">
        <v>4.4000000000000004</v>
      </c>
      <c r="M186" s="5">
        <v>681855.56</v>
      </c>
      <c r="N186" s="5">
        <v>117645.61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 x14ac:dyDescent="0.3">
      <c r="A187" s="5" t="s">
        <v>72</v>
      </c>
      <c r="B187" s="6">
        <v>45689</v>
      </c>
      <c r="C187" s="5" t="s">
        <v>24</v>
      </c>
      <c r="D187" s="5" t="s">
        <v>22</v>
      </c>
      <c r="E187" s="5">
        <v>57147.88</v>
      </c>
      <c r="F187" s="5">
        <v>5252</v>
      </c>
      <c r="G187" s="5">
        <v>0.161</v>
      </c>
      <c r="H187" s="5">
        <v>15</v>
      </c>
      <c r="I187" s="5">
        <v>95.5</v>
      </c>
      <c r="J187" s="5">
        <v>8.51</v>
      </c>
      <c r="K187" s="5">
        <v>0</v>
      </c>
      <c r="L187" s="5">
        <v>4.4000000000000004</v>
      </c>
      <c r="M187" s="5">
        <v>678311.17</v>
      </c>
      <c r="N187" s="5">
        <v>132029.76000000001</v>
      </c>
      <c r="O187">
        <f t="shared" si="6"/>
        <v>0</v>
      </c>
      <c r="P187">
        <f t="shared" si="7"/>
        <v>1</v>
      </c>
      <c r="Q187">
        <f t="shared" si="8"/>
        <v>0</v>
      </c>
    </row>
    <row r="188" spans="1:17" x14ac:dyDescent="0.3">
      <c r="A188" s="5" t="s">
        <v>72</v>
      </c>
      <c r="B188" s="6">
        <v>45717</v>
      </c>
      <c r="C188" s="5" t="s">
        <v>24</v>
      </c>
      <c r="D188" s="5" t="s">
        <v>22</v>
      </c>
      <c r="E188" s="5">
        <v>48031.74</v>
      </c>
      <c r="F188" s="5">
        <v>6516</v>
      </c>
      <c r="G188" s="5">
        <v>6.7000000000000004E-2</v>
      </c>
      <c r="H188" s="5">
        <v>14</v>
      </c>
      <c r="I188" s="5">
        <v>99</v>
      </c>
      <c r="J188" s="5">
        <v>0.48</v>
      </c>
      <c r="K188" s="5">
        <v>1</v>
      </c>
      <c r="L188" s="5">
        <v>4.3</v>
      </c>
      <c r="M188" s="5">
        <v>765906.95</v>
      </c>
      <c r="N188" s="5">
        <v>114005.9</v>
      </c>
      <c r="O188">
        <f t="shared" si="6"/>
        <v>0</v>
      </c>
      <c r="P188">
        <f t="shared" si="7"/>
        <v>1</v>
      </c>
      <c r="Q188">
        <f t="shared" si="8"/>
        <v>0</v>
      </c>
    </row>
    <row r="189" spans="1:17" x14ac:dyDescent="0.3">
      <c r="A189" s="5" t="s">
        <v>72</v>
      </c>
      <c r="B189" s="6">
        <v>45748</v>
      </c>
      <c r="C189" s="5" t="s">
        <v>24</v>
      </c>
      <c r="D189" s="5" t="s">
        <v>22</v>
      </c>
      <c r="E189" s="5">
        <v>72784.800000000003</v>
      </c>
      <c r="F189" s="5">
        <v>7932</v>
      </c>
      <c r="G189" s="5">
        <v>9.4E-2</v>
      </c>
      <c r="H189" s="5">
        <v>20</v>
      </c>
      <c r="I189" s="5">
        <v>74.900000000000006</v>
      </c>
      <c r="J189" s="5">
        <v>13.62</v>
      </c>
      <c r="K189" s="5">
        <v>0</v>
      </c>
      <c r="L189" s="5">
        <v>4.2</v>
      </c>
      <c r="M189" s="5">
        <v>712546.38</v>
      </c>
      <c r="N189" s="5">
        <v>101480.04</v>
      </c>
      <c r="O189">
        <f t="shared" si="6"/>
        <v>0</v>
      </c>
      <c r="P189">
        <f t="shared" si="7"/>
        <v>1</v>
      </c>
      <c r="Q189">
        <f t="shared" si="8"/>
        <v>0</v>
      </c>
    </row>
    <row r="190" spans="1:17" x14ac:dyDescent="0.3">
      <c r="A190" s="5" t="s">
        <v>73</v>
      </c>
      <c r="B190" s="6">
        <v>45658</v>
      </c>
      <c r="C190" s="5" t="s">
        <v>16</v>
      </c>
      <c r="D190" s="5" t="s">
        <v>22</v>
      </c>
      <c r="E190" s="5">
        <v>71641.899999999994</v>
      </c>
      <c r="F190" s="5">
        <v>3506</v>
      </c>
      <c r="G190" s="5">
        <v>0</v>
      </c>
      <c r="H190" s="5">
        <v>11</v>
      </c>
      <c r="I190" s="5">
        <v>86.4</v>
      </c>
      <c r="J190" s="5">
        <v>7.77</v>
      </c>
      <c r="K190" s="5">
        <v>0</v>
      </c>
      <c r="L190" s="5">
        <v>4.0999999999999996</v>
      </c>
      <c r="M190" s="5">
        <v>625993.82999999996</v>
      </c>
      <c r="N190" s="5">
        <v>98960.320000000007</v>
      </c>
      <c r="O190">
        <f t="shared" si="6"/>
        <v>1</v>
      </c>
      <c r="P190">
        <f t="shared" si="7"/>
        <v>0</v>
      </c>
      <c r="Q190">
        <f t="shared" si="8"/>
        <v>0</v>
      </c>
    </row>
    <row r="191" spans="1:17" x14ac:dyDescent="0.3">
      <c r="A191" s="5" t="s">
        <v>73</v>
      </c>
      <c r="B191" s="6">
        <v>45689</v>
      </c>
      <c r="C191" s="5" t="s">
        <v>16</v>
      </c>
      <c r="D191" s="5" t="s">
        <v>22</v>
      </c>
      <c r="E191" s="5">
        <v>55788.61</v>
      </c>
      <c r="F191" s="5">
        <v>2312</v>
      </c>
      <c r="G191" s="5">
        <v>5.8000000000000003E-2</v>
      </c>
      <c r="H191" s="5">
        <v>10</v>
      </c>
      <c r="I191" s="5">
        <v>91.3</v>
      </c>
      <c r="J191" s="5">
        <v>1.99</v>
      </c>
      <c r="K191" s="5">
        <v>0</v>
      </c>
      <c r="L191" s="5">
        <v>3.8</v>
      </c>
      <c r="M191" s="5">
        <v>550962.93000000005</v>
      </c>
      <c r="N191" s="5">
        <v>97144.58</v>
      </c>
      <c r="O191">
        <f t="shared" si="6"/>
        <v>1</v>
      </c>
      <c r="P191">
        <f t="shared" si="7"/>
        <v>0</v>
      </c>
      <c r="Q191">
        <f t="shared" si="8"/>
        <v>0</v>
      </c>
    </row>
    <row r="192" spans="1:17" x14ac:dyDescent="0.3">
      <c r="A192" s="5" t="s">
        <v>73</v>
      </c>
      <c r="B192" s="6">
        <v>45717</v>
      </c>
      <c r="C192" s="5" t="s">
        <v>16</v>
      </c>
      <c r="D192" s="5" t="s">
        <v>22</v>
      </c>
      <c r="E192" s="5">
        <v>37705.879999999997</v>
      </c>
      <c r="F192" s="5">
        <v>1268</v>
      </c>
      <c r="G192" s="5">
        <v>0.25900000000000001</v>
      </c>
      <c r="H192" s="5">
        <v>9</v>
      </c>
      <c r="I192" s="5">
        <v>84.1</v>
      </c>
      <c r="J192" s="5">
        <v>4.7699999999999996</v>
      </c>
      <c r="K192" s="5">
        <v>0</v>
      </c>
      <c r="L192" s="5">
        <v>3.8</v>
      </c>
      <c r="M192" s="5">
        <v>443275.59</v>
      </c>
      <c r="N192" s="5">
        <v>53544.36</v>
      </c>
      <c r="O192">
        <f t="shared" si="6"/>
        <v>1</v>
      </c>
      <c r="P192">
        <f t="shared" si="7"/>
        <v>0</v>
      </c>
      <c r="Q192">
        <f t="shared" si="8"/>
        <v>0</v>
      </c>
    </row>
    <row r="193" spans="1:17" x14ac:dyDescent="0.3">
      <c r="A193" s="5" t="s">
        <v>73</v>
      </c>
      <c r="B193" s="6">
        <v>45748</v>
      </c>
      <c r="C193" s="5" t="s">
        <v>16</v>
      </c>
      <c r="D193" s="5" t="s">
        <v>22</v>
      </c>
      <c r="E193" s="5">
        <v>54966.18</v>
      </c>
      <c r="F193" s="5">
        <v>4423</v>
      </c>
      <c r="G193" s="5">
        <v>0.186</v>
      </c>
      <c r="H193" s="5">
        <v>13</v>
      </c>
      <c r="I193" s="5">
        <v>88.7</v>
      </c>
      <c r="J193" s="5">
        <v>0.2</v>
      </c>
      <c r="K193" s="5">
        <v>0</v>
      </c>
      <c r="L193" s="5">
        <v>4.4000000000000004</v>
      </c>
      <c r="M193" s="5">
        <v>554012.06999999995</v>
      </c>
      <c r="N193" s="5">
        <v>81101.62</v>
      </c>
      <c r="O193">
        <f t="shared" si="6"/>
        <v>1</v>
      </c>
      <c r="P193">
        <f t="shared" si="7"/>
        <v>0</v>
      </c>
      <c r="Q193">
        <f t="shared" si="8"/>
        <v>0</v>
      </c>
    </row>
    <row r="194" spans="1:17" x14ac:dyDescent="0.3">
      <c r="A194" s="5" t="s">
        <v>74</v>
      </c>
      <c r="B194" s="6">
        <v>45658</v>
      </c>
      <c r="C194" s="5" t="s">
        <v>31</v>
      </c>
      <c r="D194" s="5" t="s">
        <v>17</v>
      </c>
      <c r="E194" s="5">
        <v>81796.740000000005</v>
      </c>
      <c r="F194" s="5">
        <v>6177</v>
      </c>
      <c r="G194" s="5">
        <v>0.16400000000000001</v>
      </c>
      <c r="H194" s="5">
        <v>14</v>
      </c>
      <c r="I194" s="5">
        <v>87.9</v>
      </c>
      <c r="J194" s="5">
        <v>0.53</v>
      </c>
      <c r="K194" s="5">
        <v>0</v>
      </c>
      <c r="L194" s="5">
        <v>3.2</v>
      </c>
      <c r="M194" s="5">
        <v>643428.85</v>
      </c>
      <c r="N194" s="5">
        <v>94477.63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 x14ac:dyDescent="0.3">
      <c r="A195" s="5" t="s">
        <v>74</v>
      </c>
      <c r="B195" s="6">
        <v>45689</v>
      </c>
      <c r="C195" s="5" t="s">
        <v>31</v>
      </c>
      <c r="D195" s="5" t="s">
        <v>17</v>
      </c>
      <c r="E195" s="5">
        <v>51133.43</v>
      </c>
      <c r="F195" s="5">
        <v>5150</v>
      </c>
      <c r="G195" s="5">
        <v>0.15</v>
      </c>
      <c r="H195" s="5">
        <v>12</v>
      </c>
      <c r="I195" s="5">
        <v>88.5</v>
      </c>
      <c r="J195" s="5">
        <v>1.54</v>
      </c>
      <c r="K195" s="5">
        <v>0</v>
      </c>
      <c r="L195" s="5">
        <v>3.2</v>
      </c>
      <c r="M195" s="5">
        <v>611924.27</v>
      </c>
      <c r="N195" s="5">
        <v>115488.75</v>
      </c>
      <c r="O195">
        <f t="shared" ref="O195:O258" si="9">IF(C195="East",1,0)</f>
        <v>0</v>
      </c>
      <c r="P195">
        <f t="shared" ref="P195:P258" si="10">IF(C195="North",1,0)</f>
        <v>0</v>
      </c>
      <c r="Q195">
        <f t="shared" ref="Q195:Q258" si="11">IF(C195="west",1,0)</f>
        <v>1</v>
      </c>
    </row>
    <row r="196" spans="1:17" x14ac:dyDescent="0.3">
      <c r="A196" s="5" t="s">
        <v>74</v>
      </c>
      <c r="B196" s="6">
        <v>45717</v>
      </c>
      <c r="C196" s="5" t="s">
        <v>31</v>
      </c>
      <c r="D196" s="5" t="s">
        <v>17</v>
      </c>
      <c r="E196" s="5">
        <v>40220.18</v>
      </c>
      <c r="F196" s="5">
        <v>3783</v>
      </c>
      <c r="G196" s="5">
        <v>8.8999999999999996E-2</v>
      </c>
      <c r="H196" s="5">
        <v>14</v>
      </c>
      <c r="I196" s="5">
        <v>86.6</v>
      </c>
      <c r="J196" s="5">
        <v>3.63</v>
      </c>
      <c r="K196" s="5">
        <v>0</v>
      </c>
      <c r="L196" s="5">
        <v>3.7</v>
      </c>
      <c r="M196" s="5">
        <v>559422.02</v>
      </c>
      <c r="N196" s="5">
        <v>73528.740000000005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 x14ac:dyDescent="0.3">
      <c r="A197" s="5" t="s">
        <v>74</v>
      </c>
      <c r="B197" s="6">
        <v>45748</v>
      </c>
      <c r="C197" s="5" t="s">
        <v>31</v>
      </c>
      <c r="D197" s="5" t="s">
        <v>17</v>
      </c>
      <c r="E197" s="5">
        <v>41657.64</v>
      </c>
      <c r="F197" s="5">
        <v>3135</v>
      </c>
      <c r="G197" s="5">
        <v>0.22900000000000001</v>
      </c>
      <c r="H197" s="5">
        <v>7</v>
      </c>
      <c r="I197" s="5">
        <v>85.4</v>
      </c>
      <c r="J197" s="5">
        <v>13.48</v>
      </c>
      <c r="K197" s="5">
        <v>0</v>
      </c>
      <c r="L197" s="5">
        <v>3.9246789999999998</v>
      </c>
      <c r="M197" s="5">
        <v>449465.06</v>
      </c>
      <c r="N197" s="5">
        <v>65694.78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 x14ac:dyDescent="0.3">
      <c r="A198" s="5" t="s">
        <v>75</v>
      </c>
      <c r="B198" s="6">
        <v>45658</v>
      </c>
      <c r="C198" s="5" t="s">
        <v>24</v>
      </c>
      <c r="D198" s="5" t="s">
        <v>17</v>
      </c>
      <c r="E198" s="5">
        <v>71851.45</v>
      </c>
      <c r="F198" s="5">
        <v>4970</v>
      </c>
      <c r="G198" s="5">
        <v>9.8000000000000004E-2</v>
      </c>
      <c r="H198" s="5">
        <v>11</v>
      </c>
      <c r="I198" s="5">
        <v>89.6</v>
      </c>
      <c r="J198" s="5">
        <v>0.2</v>
      </c>
      <c r="K198" s="5">
        <v>0</v>
      </c>
      <c r="L198" s="5">
        <v>4.2</v>
      </c>
      <c r="M198" s="5">
        <v>691447.43</v>
      </c>
      <c r="N198" s="5">
        <v>114077.69</v>
      </c>
      <c r="O198">
        <f t="shared" si="9"/>
        <v>0</v>
      </c>
      <c r="P198">
        <f t="shared" si="10"/>
        <v>1</v>
      </c>
      <c r="Q198">
        <f t="shared" si="11"/>
        <v>0</v>
      </c>
    </row>
    <row r="199" spans="1:17" x14ac:dyDescent="0.3">
      <c r="A199" s="5" t="s">
        <v>75</v>
      </c>
      <c r="B199" s="6">
        <v>45689</v>
      </c>
      <c r="C199" s="5" t="s">
        <v>24</v>
      </c>
      <c r="D199" s="5" t="s">
        <v>17</v>
      </c>
      <c r="E199" s="5">
        <v>54002.83</v>
      </c>
      <c r="F199" s="5">
        <v>4366</v>
      </c>
      <c r="G199" s="5">
        <v>2.7E-2</v>
      </c>
      <c r="H199" s="5">
        <v>15</v>
      </c>
      <c r="I199" s="5">
        <v>90.6</v>
      </c>
      <c r="J199" s="5">
        <v>12.82</v>
      </c>
      <c r="K199" s="5">
        <v>0</v>
      </c>
      <c r="L199" s="5">
        <v>4.5999999999999996</v>
      </c>
      <c r="M199" s="5">
        <v>574066.61</v>
      </c>
      <c r="N199" s="5">
        <v>124674.67</v>
      </c>
      <c r="O199">
        <f t="shared" si="9"/>
        <v>0</v>
      </c>
      <c r="P199">
        <f t="shared" si="10"/>
        <v>1</v>
      </c>
      <c r="Q199">
        <f t="shared" si="11"/>
        <v>0</v>
      </c>
    </row>
    <row r="200" spans="1:17" x14ac:dyDescent="0.3">
      <c r="A200" s="5" t="s">
        <v>75</v>
      </c>
      <c r="B200" s="6">
        <v>45717</v>
      </c>
      <c r="C200" s="5" t="s">
        <v>24</v>
      </c>
      <c r="D200" s="5" t="s">
        <v>17</v>
      </c>
      <c r="E200" s="5">
        <v>54479.33</v>
      </c>
      <c r="F200" s="5">
        <v>5012</v>
      </c>
      <c r="G200" s="5">
        <v>0.28399999999999997</v>
      </c>
      <c r="H200" s="5">
        <v>13</v>
      </c>
      <c r="I200" s="5">
        <v>86</v>
      </c>
      <c r="J200" s="5">
        <v>2.2400000000000002</v>
      </c>
      <c r="K200" s="5">
        <v>1</v>
      </c>
      <c r="L200" s="5">
        <v>4.3</v>
      </c>
      <c r="M200" s="5">
        <v>578949.84</v>
      </c>
      <c r="N200" s="5">
        <v>80253.649999999994</v>
      </c>
      <c r="O200">
        <f t="shared" si="9"/>
        <v>0</v>
      </c>
      <c r="P200">
        <f t="shared" si="10"/>
        <v>1</v>
      </c>
      <c r="Q200">
        <f t="shared" si="11"/>
        <v>0</v>
      </c>
    </row>
    <row r="201" spans="1:17" x14ac:dyDescent="0.3">
      <c r="A201" s="5" t="s">
        <v>75</v>
      </c>
      <c r="B201" s="6">
        <v>45748</v>
      </c>
      <c r="C201" s="5" t="s">
        <v>24</v>
      </c>
      <c r="D201" s="5" t="s">
        <v>17</v>
      </c>
      <c r="E201" s="5">
        <v>61391.8</v>
      </c>
      <c r="F201" s="5">
        <v>5575</v>
      </c>
      <c r="G201" s="5">
        <v>0.189</v>
      </c>
      <c r="H201" s="5">
        <v>18</v>
      </c>
      <c r="I201" s="5">
        <v>90</v>
      </c>
      <c r="J201" s="5">
        <v>1.8</v>
      </c>
      <c r="K201" s="5">
        <v>0</v>
      </c>
      <c r="L201" s="5">
        <v>4.8</v>
      </c>
      <c r="M201" s="5">
        <v>735786.64</v>
      </c>
      <c r="N201" s="5">
        <v>126540.66</v>
      </c>
      <c r="O201">
        <f t="shared" si="9"/>
        <v>0</v>
      </c>
      <c r="P201">
        <f t="shared" si="10"/>
        <v>1</v>
      </c>
      <c r="Q201">
        <f t="shared" si="11"/>
        <v>0</v>
      </c>
    </row>
    <row r="202" spans="1:17" x14ac:dyDescent="0.3">
      <c r="A202" s="5" t="s">
        <v>76</v>
      </c>
      <c r="B202" s="6">
        <v>45658</v>
      </c>
      <c r="C202" s="5" t="s">
        <v>16</v>
      </c>
      <c r="D202" s="5" t="s">
        <v>25</v>
      </c>
      <c r="E202" s="5">
        <v>22312.93</v>
      </c>
      <c r="F202" s="5">
        <v>5955</v>
      </c>
      <c r="G202" s="5">
        <v>0.123</v>
      </c>
      <c r="H202" s="5">
        <v>13</v>
      </c>
      <c r="I202" s="5">
        <v>84.2</v>
      </c>
      <c r="J202" s="5">
        <v>0.41</v>
      </c>
      <c r="K202" s="5">
        <v>1</v>
      </c>
      <c r="L202" s="5">
        <v>4.5999999999999996</v>
      </c>
      <c r="M202" s="5">
        <v>598904.9</v>
      </c>
      <c r="N202" s="5">
        <v>72861</v>
      </c>
      <c r="O202">
        <f t="shared" si="9"/>
        <v>1</v>
      </c>
      <c r="P202">
        <f t="shared" si="10"/>
        <v>0</v>
      </c>
      <c r="Q202">
        <f t="shared" si="11"/>
        <v>0</v>
      </c>
    </row>
    <row r="203" spans="1:17" x14ac:dyDescent="0.3">
      <c r="A203" s="5" t="s">
        <v>76</v>
      </c>
      <c r="B203" s="6">
        <v>45689</v>
      </c>
      <c r="C203" s="5" t="s">
        <v>16</v>
      </c>
      <c r="D203" s="5" t="s">
        <v>25</v>
      </c>
      <c r="E203" s="5">
        <v>78111.97</v>
      </c>
      <c r="F203" s="5">
        <v>6389</v>
      </c>
      <c r="G203" s="5">
        <v>0.15</v>
      </c>
      <c r="H203" s="5">
        <v>13</v>
      </c>
      <c r="I203" s="5">
        <v>83.9</v>
      </c>
      <c r="J203" s="5">
        <v>3.05</v>
      </c>
      <c r="K203" s="5">
        <v>0</v>
      </c>
      <c r="L203" s="5">
        <v>4.8</v>
      </c>
      <c r="M203" s="5">
        <v>787715.51</v>
      </c>
      <c r="N203" s="5">
        <v>128969.62</v>
      </c>
      <c r="O203">
        <f t="shared" si="9"/>
        <v>1</v>
      </c>
      <c r="P203">
        <f t="shared" si="10"/>
        <v>0</v>
      </c>
      <c r="Q203">
        <f t="shared" si="11"/>
        <v>0</v>
      </c>
    </row>
    <row r="204" spans="1:17" x14ac:dyDescent="0.3">
      <c r="A204" s="5" t="s">
        <v>76</v>
      </c>
      <c r="B204" s="6">
        <v>45717</v>
      </c>
      <c r="C204" s="5" t="s">
        <v>16</v>
      </c>
      <c r="D204" s="5" t="s">
        <v>25</v>
      </c>
      <c r="E204" s="5">
        <v>35203.230000000003</v>
      </c>
      <c r="F204" s="5">
        <v>6896</v>
      </c>
      <c r="G204" s="5">
        <v>3.2000000000000001E-2</v>
      </c>
      <c r="H204" s="5">
        <v>14</v>
      </c>
      <c r="I204" s="5">
        <v>80.8</v>
      </c>
      <c r="J204" s="5">
        <v>8.44</v>
      </c>
      <c r="K204" s="5">
        <v>1</v>
      </c>
      <c r="L204" s="5">
        <v>5</v>
      </c>
      <c r="M204" s="5">
        <v>607084.92000000004</v>
      </c>
      <c r="N204" s="5">
        <v>98558.49</v>
      </c>
      <c r="O204">
        <f t="shared" si="9"/>
        <v>1</v>
      </c>
      <c r="P204">
        <f t="shared" si="10"/>
        <v>0</v>
      </c>
      <c r="Q204">
        <f t="shared" si="11"/>
        <v>0</v>
      </c>
    </row>
    <row r="205" spans="1:17" x14ac:dyDescent="0.3">
      <c r="A205" s="5" t="s">
        <v>76</v>
      </c>
      <c r="B205" s="6">
        <v>45748</v>
      </c>
      <c r="C205" s="5" t="s">
        <v>16</v>
      </c>
      <c r="D205" s="5" t="s">
        <v>25</v>
      </c>
      <c r="E205" s="5">
        <v>64104.28</v>
      </c>
      <c r="F205" s="5">
        <v>6015</v>
      </c>
      <c r="G205" s="5">
        <v>0.127</v>
      </c>
      <c r="H205" s="5">
        <v>15</v>
      </c>
      <c r="I205" s="5">
        <v>88.7</v>
      </c>
      <c r="J205" s="5">
        <v>0.78</v>
      </c>
      <c r="K205" s="5">
        <v>0</v>
      </c>
      <c r="L205" s="5">
        <v>4</v>
      </c>
      <c r="M205" s="5">
        <v>650795.49</v>
      </c>
      <c r="N205" s="5">
        <v>103035.89</v>
      </c>
      <c r="O205">
        <f t="shared" si="9"/>
        <v>1</v>
      </c>
      <c r="P205">
        <f t="shared" si="10"/>
        <v>0</v>
      </c>
      <c r="Q205">
        <f t="shared" si="11"/>
        <v>0</v>
      </c>
    </row>
    <row r="206" spans="1:17" x14ac:dyDescent="0.3">
      <c r="A206" s="5" t="s">
        <v>77</v>
      </c>
      <c r="B206" s="6">
        <v>45658</v>
      </c>
      <c r="C206" s="5" t="s">
        <v>16</v>
      </c>
      <c r="D206" s="5" t="s">
        <v>32</v>
      </c>
      <c r="E206" s="5">
        <v>92090.14</v>
      </c>
      <c r="F206" s="5">
        <v>9476</v>
      </c>
      <c r="G206" s="5">
        <v>7.0000000000000007E-2</v>
      </c>
      <c r="H206" s="5">
        <v>24</v>
      </c>
      <c r="I206" s="5">
        <v>94.3</v>
      </c>
      <c r="J206" s="5">
        <v>0.87</v>
      </c>
      <c r="K206" s="5">
        <v>0</v>
      </c>
      <c r="L206" s="5">
        <v>3.7</v>
      </c>
      <c r="M206" s="5">
        <v>825060.52</v>
      </c>
      <c r="N206" s="5">
        <v>143613.15</v>
      </c>
      <c r="O206">
        <f t="shared" si="9"/>
        <v>1</v>
      </c>
      <c r="P206">
        <f t="shared" si="10"/>
        <v>0</v>
      </c>
      <c r="Q206">
        <f t="shared" si="11"/>
        <v>0</v>
      </c>
    </row>
    <row r="207" spans="1:17" x14ac:dyDescent="0.3">
      <c r="A207" s="5" t="s">
        <v>77</v>
      </c>
      <c r="B207" s="6">
        <v>45689</v>
      </c>
      <c r="C207" s="5" t="s">
        <v>16</v>
      </c>
      <c r="D207" s="5" t="s">
        <v>32</v>
      </c>
      <c r="E207" s="5">
        <v>54300.87</v>
      </c>
      <c r="F207" s="5">
        <v>7875</v>
      </c>
      <c r="G207" s="5">
        <v>0.107</v>
      </c>
      <c r="H207" s="5">
        <v>19</v>
      </c>
      <c r="I207" s="5">
        <v>94.1</v>
      </c>
      <c r="J207" s="5">
        <v>0.95</v>
      </c>
      <c r="K207" s="5">
        <v>0</v>
      </c>
      <c r="L207" s="5">
        <v>3.7</v>
      </c>
      <c r="M207" s="5">
        <v>795464.47</v>
      </c>
      <c r="N207" s="5">
        <v>161150.51999999999</v>
      </c>
      <c r="O207">
        <f t="shared" si="9"/>
        <v>1</v>
      </c>
      <c r="P207">
        <f t="shared" si="10"/>
        <v>0</v>
      </c>
      <c r="Q207">
        <f t="shared" si="11"/>
        <v>0</v>
      </c>
    </row>
    <row r="208" spans="1:17" x14ac:dyDescent="0.3">
      <c r="A208" s="5" t="s">
        <v>77</v>
      </c>
      <c r="B208" s="6">
        <v>45717</v>
      </c>
      <c r="C208" s="5" t="s">
        <v>16</v>
      </c>
      <c r="D208" s="5" t="s">
        <v>32</v>
      </c>
      <c r="E208" s="5">
        <v>37983.35</v>
      </c>
      <c r="F208" s="5">
        <v>9283</v>
      </c>
      <c r="G208" s="5">
        <v>0.14899999999999999</v>
      </c>
      <c r="H208" s="5">
        <v>19</v>
      </c>
      <c r="I208" s="5">
        <v>83.2</v>
      </c>
      <c r="J208" s="5">
        <v>3.82</v>
      </c>
      <c r="K208" s="5">
        <v>0</v>
      </c>
      <c r="L208" s="5">
        <v>3.7</v>
      </c>
      <c r="M208" s="5">
        <v>671868.59</v>
      </c>
      <c r="N208" s="5">
        <v>71003.28</v>
      </c>
      <c r="O208">
        <f t="shared" si="9"/>
        <v>1</v>
      </c>
      <c r="P208">
        <f t="shared" si="10"/>
        <v>0</v>
      </c>
      <c r="Q208">
        <f t="shared" si="11"/>
        <v>0</v>
      </c>
    </row>
    <row r="209" spans="1:17" x14ac:dyDescent="0.3">
      <c r="A209" s="5" t="s">
        <v>77</v>
      </c>
      <c r="B209" s="6">
        <v>45748</v>
      </c>
      <c r="C209" s="5" t="s">
        <v>16</v>
      </c>
      <c r="D209" s="5" t="s">
        <v>32</v>
      </c>
      <c r="E209" s="5">
        <v>56413.83</v>
      </c>
      <c r="F209" s="5">
        <v>8303</v>
      </c>
      <c r="G209" s="5">
        <v>0.11600000000000001</v>
      </c>
      <c r="H209" s="5">
        <v>18</v>
      </c>
      <c r="I209" s="5">
        <v>93.6</v>
      </c>
      <c r="J209" s="5">
        <v>2.7</v>
      </c>
      <c r="K209" s="5">
        <v>0</v>
      </c>
      <c r="L209" s="5">
        <v>3.7</v>
      </c>
      <c r="M209" s="5">
        <v>675917.63</v>
      </c>
      <c r="N209" s="5">
        <v>112564.75</v>
      </c>
      <c r="O209">
        <f t="shared" si="9"/>
        <v>1</v>
      </c>
      <c r="P209">
        <f t="shared" si="10"/>
        <v>0</v>
      </c>
      <c r="Q209">
        <f t="shared" si="11"/>
        <v>0</v>
      </c>
    </row>
    <row r="210" spans="1:17" x14ac:dyDescent="0.3">
      <c r="A210" s="5" t="s">
        <v>78</v>
      </c>
      <c r="B210" s="6">
        <v>45658</v>
      </c>
      <c r="C210" s="5" t="s">
        <v>16</v>
      </c>
      <c r="D210" s="5" t="s">
        <v>22</v>
      </c>
      <c r="E210" s="5">
        <v>63457.19</v>
      </c>
      <c r="F210" s="5">
        <v>10125</v>
      </c>
      <c r="G210" s="5">
        <v>9.7000000000000003E-2</v>
      </c>
      <c r="H210" s="5">
        <v>24</v>
      </c>
      <c r="I210" s="5">
        <v>87</v>
      </c>
      <c r="J210" s="5">
        <v>3.84</v>
      </c>
      <c r="K210" s="5">
        <v>1</v>
      </c>
      <c r="L210" s="5">
        <v>3.7</v>
      </c>
      <c r="M210" s="5">
        <v>810446.53</v>
      </c>
      <c r="N210" s="5">
        <v>200575.34</v>
      </c>
      <c r="O210">
        <f t="shared" si="9"/>
        <v>1</v>
      </c>
      <c r="P210">
        <f t="shared" si="10"/>
        <v>0</v>
      </c>
      <c r="Q210">
        <f t="shared" si="11"/>
        <v>0</v>
      </c>
    </row>
    <row r="211" spans="1:17" x14ac:dyDescent="0.3">
      <c r="A211" s="5" t="s">
        <v>78</v>
      </c>
      <c r="B211" s="6">
        <v>45689</v>
      </c>
      <c r="C211" s="5" t="s">
        <v>16</v>
      </c>
      <c r="D211" s="5" t="s">
        <v>22</v>
      </c>
      <c r="E211" s="5">
        <v>62949.7</v>
      </c>
      <c r="F211" s="5">
        <v>9458</v>
      </c>
      <c r="G211" s="5">
        <v>0.17100000000000001</v>
      </c>
      <c r="H211" s="5">
        <v>19</v>
      </c>
      <c r="I211" s="5">
        <v>84.9</v>
      </c>
      <c r="J211" s="5">
        <v>5.09</v>
      </c>
      <c r="K211" s="5">
        <v>0</v>
      </c>
      <c r="L211" s="5">
        <v>3.3</v>
      </c>
      <c r="M211" s="5">
        <v>691288.19</v>
      </c>
      <c r="N211" s="5">
        <v>159074.14000000001</v>
      </c>
      <c r="O211">
        <f t="shared" si="9"/>
        <v>1</v>
      </c>
      <c r="P211">
        <f t="shared" si="10"/>
        <v>0</v>
      </c>
      <c r="Q211">
        <f t="shared" si="11"/>
        <v>0</v>
      </c>
    </row>
    <row r="212" spans="1:17" x14ac:dyDescent="0.3">
      <c r="A212" s="5" t="s">
        <v>78</v>
      </c>
      <c r="B212" s="6">
        <v>45717</v>
      </c>
      <c r="C212" s="5" t="s">
        <v>16</v>
      </c>
      <c r="D212" s="5" t="s">
        <v>22</v>
      </c>
      <c r="E212" s="5">
        <v>107970.19</v>
      </c>
      <c r="F212" s="5">
        <v>12870</v>
      </c>
      <c r="G212" s="5">
        <v>2.9000000000000001E-2</v>
      </c>
      <c r="H212" s="5">
        <v>31</v>
      </c>
      <c r="I212" s="5">
        <v>91.7</v>
      </c>
      <c r="J212" s="5">
        <v>3.82</v>
      </c>
      <c r="K212" s="5">
        <v>1</v>
      </c>
      <c r="L212" s="5">
        <v>3.7</v>
      </c>
      <c r="M212" s="5">
        <v>946833.54</v>
      </c>
      <c r="N212" s="5">
        <v>184540.31</v>
      </c>
      <c r="O212">
        <f t="shared" si="9"/>
        <v>1</v>
      </c>
      <c r="P212">
        <f t="shared" si="10"/>
        <v>0</v>
      </c>
      <c r="Q212">
        <f t="shared" si="11"/>
        <v>0</v>
      </c>
    </row>
    <row r="213" spans="1:17" x14ac:dyDescent="0.3">
      <c r="A213" s="5" t="s">
        <v>78</v>
      </c>
      <c r="B213" s="6">
        <v>45748</v>
      </c>
      <c r="C213" s="5" t="s">
        <v>16</v>
      </c>
      <c r="D213" s="5" t="s">
        <v>22</v>
      </c>
      <c r="E213" s="5">
        <v>49405.75</v>
      </c>
      <c r="F213" s="5">
        <v>9752</v>
      </c>
      <c r="G213" s="5">
        <v>9.2999999999999999E-2</v>
      </c>
      <c r="H213" s="5">
        <v>21</v>
      </c>
      <c r="I213" s="5">
        <v>87</v>
      </c>
      <c r="J213" s="5">
        <v>12.28</v>
      </c>
      <c r="K213" s="5">
        <v>0</v>
      </c>
      <c r="L213" s="5">
        <v>4.0999999999999996</v>
      </c>
      <c r="M213" s="5">
        <v>761963.23</v>
      </c>
      <c r="N213" s="5">
        <v>150113.60999999999</v>
      </c>
      <c r="O213">
        <f t="shared" si="9"/>
        <v>1</v>
      </c>
      <c r="P213">
        <f t="shared" si="10"/>
        <v>0</v>
      </c>
      <c r="Q213">
        <f t="shared" si="11"/>
        <v>0</v>
      </c>
    </row>
    <row r="214" spans="1:17" x14ac:dyDescent="0.3">
      <c r="A214" s="5" t="s">
        <v>79</v>
      </c>
      <c r="B214" s="6">
        <v>45658</v>
      </c>
      <c r="C214" s="5" t="s">
        <v>31</v>
      </c>
      <c r="D214" s="5" t="s">
        <v>17</v>
      </c>
      <c r="E214" s="5">
        <v>50887.46</v>
      </c>
      <c r="F214" s="5">
        <v>9505</v>
      </c>
      <c r="G214" s="5">
        <v>9.0999999999999998E-2</v>
      </c>
      <c r="H214" s="5">
        <v>25</v>
      </c>
      <c r="I214" s="5">
        <v>89.7</v>
      </c>
      <c r="J214" s="5">
        <v>2.8</v>
      </c>
      <c r="K214" s="5">
        <v>0</v>
      </c>
      <c r="L214" s="5">
        <v>4.3</v>
      </c>
      <c r="M214" s="5">
        <v>812152.6</v>
      </c>
      <c r="N214" s="5">
        <v>138419.43</v>
      </c>
      <c r="O214">
        <f t="shared" si="9"/>
        <v>0</v>
      </c>
      <c r="P214">
        <f t="shared" si="10"/>
        <v>0</v>
      </c>
      <c r="Q214">
        <f t="shared" si="11"/>
        <v>1</v>
      </c>
    </row>
    <row r="215" spans="1:17" x14ac:dyDescent="0.3">
      <c r="A215" s="5" t="s">
        <v>79</v>
      </c>
      <c r="B215" s="6">
        <v>45689</v>
      </c>
      <c r="C215" s="5" t="s">
        <v>31</v>
      </c>
      <c r="D215" s="5" t="s">
        <v>17</v>
      </c>
      <c r="E215" s="5">
        <v>41819.449999999997</v>
      </c>
      <c r="F215" s="5">
        <v>9412</v>
      </c>
      <c r="G215" s="5">
        <v>0.15</v>
      </c>
      <c r="H215" s="5">
        <v>22</v>
      </c>
      <c r="I215" s="5">
        <v>91</v>
      </c>
      <c r="J215" s="5">
        <v>3.67</v>
      </c>
      <c r="K215" s="5">
        <v>0</v>
      </c>
      <c r="L215" s="5">
        <v>4.2</v>
      </c>
      <c r="M215" s="5">
        <v>804975.5</v>
      </c>
      <c r="N215" s="5">
        <v>140054.5</v>
      </c>
      <c r="O215">
        <f t="shared" si="9"/>
        <v>0</v>
      </c>
      <c r="P215">
        <f t="shared" si="10"/>
        <v>0</v>
      </c>
      <c r="Q215">
        <f t="shared" si="11"/>
        <v>1</v>
      </c>
    </row>
    <row r="216" spans="1:17" x14ac:dyDescent="0.3">
      <c r="A216" s="5" t="s">
        <v>79</v>
      </c>
      <c r="B216" s="6">
        <v>45717</v>
      </c>
      <c r="C216" s="5" t="s">
        <v>31</v>
      </c>
      <c r="D216" s="5" t="s">
        <v>17</v>
      </c>
      <c r="E216" s="5">
        <v>35296.54</v>
      </c>
      <c r="F216" s="5">
        <v>9644</v>
      </c>
      <c r="G216" s="5">
        <v>0</v>
      </c>
      <c r="H216" s="5">
        <v>22</v>
      </c>
      <c r="I216" s="5">
        <v>88</v>
      </c>
      <c r="J216" s="5">
        <v>2.81</v>
      </c>
      <c r="K216" s="5">
        <v>0</v>
      </c>
      <c r="L216" s="5">
        <v>4.7</v>
      </c>
      <c r="M216" s="5">
        <v>752321.72</v>
      </c>
      <c r="N216" s="5">
        <v>137788.51</v>
      </c>
      <c r="O216">
        <f t="shared" si="9"/>
        <v>0</v>
      </c>
      <c r="P216">
        <f t="shared" si="10"/>
        <v>0</v>
      </c>
      <c r="Q216">
        <f t="shared" si="11"/>
        <v>1</v>
      </c>
    </row>
    <row r="217" spans="1:17" x14ac:dyDescent="0.3">
      <c r="A217" s="5" t="s">
        <v>79</v>
      </c>
      <c r="B217" s="6">
        <v>45748</v>
      </c>
      <c r="C217" s="5" t="s">
        <v>31</v>
      </c>
      <c r="D217" s="5" t="s">
        <v>17</v>
      </c>
      <c r="E217" s="5">
        <v>47391.09</v>
      </c>
      <c r="F217" s="5">
        <v>11224</v>
      </c>
      <c r="G217" s="5">
        <v>0.14699999999999999</v>
      </c>
      <c r="H217" s="5">
        <v>25</v>
      </c>
      <c r="I217" s="5">
        <v>88.4</v>
      </c>
      <c r="J217" s="5">
        <v>2.44</v>
      </c>
      <c r="K217" s="5">
        <v>0</v>
      </c>
      <c r="L217" s="5">
        <v>4.9000000000000004</v>
      </c>
      <c r="M217" s="5">
        <v>836908.24</v>
      </c>
      <c r="N217" s="5">
        <v>141090.26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 x14ac:dyDescent="0.3">
      <c r="A218" s="5" t="s">
        <v>80</v>
      </c>
      <c r="B218" s="6">
        <v>45658</v>
      </c>
      <c r="C218" s="5" t="s">
        <v>24</v>
      </c>
      <c r="D218" s="5" t="s">
        <v>25</v>
      </c>
      <c r="E218" s="5">
        <v>69180.539999999994</v>
      </c>
      <c r="F218" s="5">
        <v>5394</v>
      </c>
      <c r="G218" s="5">
        <v>0.126</v>
      </c>
      <c r="H218" s="5">
        <v>12</v>
      </c>
      <c r="I218" s="5">
        <v>82.9</v>
      </c>
      <c r="J218" s="5">
        <v>3.27</v>
      </c>
      <c r="K218" s="5">
        <v>0</v>
      </c>
      <c r="L218" s="5">
        <v>3.3</v>
      </c>
      <c r="M218" s="5">
        <v>674289.1</v>
      </c>
      <c r="N218" s="5">
        <v>117773.79</v>
      </c>
      <c r="O218">
        <f t="shared" si="9"/>
        <v>0</v>
      </c>
      <c r="P218">
        <f t="shared" si="10"/>
        <v>1</v>
      </c>
      <c r="Q218">
        <f t="shared" si="11"/>
        <v>0</v>
      </c>
    </row>
    <row r="219" spans="1:17" x14ac:dyDescent="0.3">
      <c r="A219" s="5" t="s">
        <v>80</v>
      </c>
      <c r="B219" s="6">
        <v>45689</v>
      </c>
      <c r="C219" s="5" t="s">
        <v>24</v>
      </c>
      <c r="D219" s="5" t="s">
        <v>25</v>
      </c>
      <c r="E219" s="5">
        <v>33987.33</v>
      </c>
      <c r="F219" s="5">
        <v>5014</v>
      </c>
      <c r="G219" s="5">
        <v>0.246</v>
      </c>
      <c r="H219" s="5">
        <v>17</v>
      </c>
      <c r="I219" s="5">
        <v>94.3</v>
      </c>
      <c r="J219" s="5">
        <v>10.34</v>
      </c>
      <c r="K219" s="5">
        <v>0</v>
      </c>
      <c r="L219" s="5">
        <v>3.9</v>
      </c>
      <c r="M219" s="5">
        <v>622892.42000000004</v>
      </c>
      <c r="N219" s="5">
        <v>101032.52</v>
      </c>
      <c r="O219">
        <f t="shared" si="9"/>
        <v>0</v>
      </c>
      <c r="P219">
        <f t="shared" si="10"/>
        <v>1</v>
      </c>
      <c r="Q219">
        <f t="shared" si="11"/>
        <v>0</v>
      </c>
    </row>
    <row r="220" spans="1:17" x14ac:dyDescent="0.3">
      <c r="A220" s="5" t="s">
        <v>80</v>
      </c>
      <c r="B220" s="6">
        <v>45717</v>
      </c>
      <c r="C220" s="5" t="s">
        <v>24</v>
      </c>
      <c r="D220" s="5" t="s">
        <v>25</v>
      </c>
      <c r="E220" s="5">
        <v>58785.33</v>
      </c>
      <c r="F220" s="5">
        <v>4467</v>
      </c>
      <c r="G220" s="5">
        <v>0.22900000000000001</v>
      </c>
      <c r="H220" s="5">
        <v>14</v>
      </c>
      <c r="I220" s="5">
        <v>90.7</v>
      </c>
      <c r="J220" s="5">
        <v>1.92</v>
      </c>
      <c r="K220" s="5">
        <v>0</v>
      </c>
      <c r="L220" s="5">
        <v>3.7</v>
      </c>
      <c r="M220" s="5">
        <v>673348.56</v>
      </c>
      <c r="N220" s="5">
        <v>69464.59</v>
      </c>
      <c r="O220">
        <f t="shared" si="9"/>
        <v>0</v>
      </c>
      <c r="P220">
        <f t="shared" si="10"/>
        <v>1</v>
      </c>
      <c r="Q220">
        <f t="shared" si="11"/>
        <v>0</v>
      </c>
    </row>
    <row r="221" spans="1:17" x14ac:dyDescent="0.3">
      <c r="A221" s="5" t="s">
        <v>80</v>
      </c>
      <c r="B221" s="6">
        <v>45748</v>
      </c>
      <c r="C221" s="5" t="s">
        <v>24</v>
      </c>
      <c r="D221" s="5" t="s">
        <v>25</v>
      </c>
      <c r="E221" s="5">
        <v>16451.849999999999</v>
      </c>
      <c r="F221" s="5">
        <v>4678</v>
      </c>
      <c r="G221" s="5">
        <v>0.13300000000000001</v>
      </c>
      <c r="H221" s="5">
        <v>11</v>
      </c>
      <c r="I221" s="5">
        <v>95.9</v>
      </c>
      <c r="J221" s="5">
        <v>3.1</v>
      </c>
      <c r="K221" s="5">
        <v>0</v>
      </c>
      <c r="L221" s="5">
        <v>3.9</v>
      </c>
      <c r="M221" s="5">
        <v>606278.30000000005</v>
      </c>
      <c r="N221" s="5">
        <v>102213.26</v>
      </c>
      <c r="O221">
        <f t="shared" si="9"/>
        <v>0</v>
      </c>
      <c r="P221">
        <f t="shared" si="10"/>
        <v>1</v>
      </c>
      <c r="Q221">
        <f t="shared" si="11"/>
        <v>0</v>
      </c>
    </row>
    <row r="222" spans="1:17" x14ac:dyDescent="0.3">
      <c r="A222" s="5" t="s">
        <v>81</v>
      </c>
      <c r="B222" s="6">
        <v>45658</v>
      </c>
      <c r="C222" s="5" t="s">
        <v>16</v>
      </c>
      <c r="D222" s="5" t="s">
        <v>22</v>
      </c>
      <c r="E222" s="5">
        <v>53367.73</v>
      </c>
      <c r="F222" s="5">
        <v>7291</v>
      </c>
      <c r="G222" s="5">
        <v>0.14599999999999999</v>
      </c>
      <c r="H222" s="5">
        <v>18</v>
      </c>
      <c r="I222" s="5">
        <v>90.6</v>
      </c>
      <c r="J222" s="5">
        <v>6.34</v>
      </c>
      <c r="K222" s="5">
        <v>1</v>
      </c>
      <c r="L222" s="5">
        <v>3.8</v>
      </c>
      <c r="M222" s="5">
        <v>712219.81</v>
      </c>
      <c r="N222" s="5">
        <v>85906.54</v>
      </c>
      <c r="O222">
        <f t="shared" si="9"/>
        <v>1</v>
      </c>
      <c r="P222">
        <f t="shared" si="10"/>
        <v>0</v>
      </c>
      <c r="Q222">
        <f t="shared" si="11"/>
        <v>0</v>
      </c>
    </row>
    <row r="223" spans="1:17" x14ac:dyDescent="0.3">
      <c r="A223" s="5" t="s">
        <v>81</v>
      </c>
      <c r="B223" s="6">
        <v>45689</v>
      </c>
      <c r="C223" s="5" t="s">
        <v>16</v>
      </c>
      <c r="D223" s="5" t="s">
        <v>22</v>
      </c>
      <c r="E223" s="5">
        <v>27194.639999999999</v>
      </c>
      <c r="F223" s="5">
        <v>7404</v>
      </c>
      <c r="G223" s="5">
        <v>8.7999999999999995E-2</v>
      </c>
      <c r="H223" s="5">
        <v>18</v>
      </c>
      <c r="I223" s="5">
        <v>90.2</v>
      </c>
      <c r="J223" s="5">
        <v>1.2</v>
      </c>
      <c r="K223" s="5">
        <v>0</v>
      </c>
      <c r="L223" s="5">
        <v>3.4</v>
      </c>
      <c r="M223" s="5">
        <v>672670.54</v>
      </c>
      <c r="N223" s="5">
        <v>132684.18</v>
      </c>
      <c r="O223">
        <f t="shared" si="9"/>
        <v>1</v>
      </c>
      <c r="P223">
        <f t="shared" si="10"/>
        <v>0</v>
      </c>
      <c r="Q223">
        <f t="shared" si="11"/>
        <v>0</v>
      </c>
    </row>
    <row r="224" spans="1:17" x14ac:dyDescent="0.3">
      <c r="A224" s="5" t="s">
        <v>81</v>
      </c>
      <c r="B224" s="6">
        <v>45717</v>
      </c>
      <c r="C224" s="5" t="s">
        <v>16</v>
      </c>
      <c r="D224" s="5" t="s">
        <v>22</v>
      </c>
      <c r="E224" s="5">
        <v>66962.740000000005</v>
      </c>
      <c r="F224" s="5">
        <v>7880</v>
      </c>
      <c r="G224" s="5">
        <v>0.11600000000000001</v>
      </c>
      <c r="H224" s="5">
        <v>19</v>
      </c>
      <c r="I224" s="5">
        <v>90.4</v>
      </c>
      <c r="J224" s="5">
        <v>4.5</v>
      </c>
      <c r="K224" s="5">
        <v>0</v>
      </c>
      <c r="L224" s="5">
        <v>3.3</v>
      </c>
      <c r="M224" s="5">
        <v>732667.92</v>
      </c>
      <c r="N224" s="5">
        <v>128654.46</v>
      </c>
      <c r="O224">
        <f t="shared" si="9"/>
        <v>1</v>
      </c>
      <c r="P224">
        <f t="shared" si="10"/>
        <v>0</v>
      </c>
      <c r="Q224">
        <f t="shared" si="11"/>
        <v>0</v>
      </c>
    </row>
    <row r="225" spans="1:17" x14ac:dyDescent="0.3">
      <c r="A225" s="5" t="s">
        <v>81</v>
      </c>
      <c r="B225" s="6">
        <v>45748</v>
      </c>
      <c r="C225" s="5" t="s">
        <v>16</v>
      </c>
      <c r="D225" s="5" t="s">
        <v>22</v>
      </c>
      <c r="E225" s="5">
        <v>73540.990000000005</v>
      </c>
      <c r="F225" s="5">
        <v>8773</v>
      </c>
      <c r="G225" s="5">
        <v>3.5000000000000003E-2</v>
      </c>
      <c r="H225" s="5">
        <v>21</v>
      </c>
      <c r="I225" s="5">
        <v>84.4</v>
      </c>
      <c r="J225" s="5">
        <v>6.68</v>
      </c>
      <c r="K225" s="5">
        <v>0</v>
      </c>
      <c r="L225" s="5">
        <v>3.6</v>
      </c>
      <c r="M225" s="5">
        <v>723531.4</v>
      </c>
      <c r="N225" s="5">
        <v>108794.85</v>
      </c>
      <c r="O225">
        <f t="shared" si="9"/>
        <v>1</v>
      </c>
      <c r="P225">
        <f t="shared" si="10"/>
        <v>0</v>
      </c>
      <c r="Q225">
        <f t="shared" si="11"/>
        <v>0</v>
      </c>
    </row>
    <row r="226" spans="1:17" x14ac:dyDescent="0.3">
      <c r="A226" s="5" t="s">
        <v>82</v>
      </c>
      <c r="B226" s="6">
        <v>45658</v>
      </c>
      <c r="C226" s="5" t="s">
        <v>16</v>
      </c>
      <c r="D226" s="5" t="s">
        <v>32</v>
      </c>
      <c r="E226" s="5">
        <v>68212.289999999994</v>
      </c>
      <c r="F226" s="5">
        <v>4713</v>
      </c>
      <c r="G226" s="5">
        <v>0.19800000000000001</v>
      </c>
      <c r="H226" s="5">
        <v>15</v>
      </c>
      <c r="I226" s="5">
        <v>82.6</v>
      </c>
      <c r="J226" s="5">
        <v>4.07</v>
      </c>
      <c r="K226" s="5">
        <v>1</v>
      </c>
      <c r="L226" s="5">
        <v>3</v>
      </c>
      <c r="M226" s="5">
        <v>641564.6</v>
      </c>
      <c r="N226" s="5">
        <v>90468.96</v>
      </c>
      <c r="O226">
        <f t="shared" si="9"/>
        <v>1</v>
      </c>
      <c r="P226">
        <f t="shared" si="10"/>
        <v>0</v>
      </c>
      <c r="Q226">
        <f t="shared" si="11"/>
        <v>0</v>
      </c>
    </row>
    <row r="227" spans="1:17" x14ac:dyDescent="0.3">
      <c r="A227" s="5" t="s">
        <v>82</v>
      </c>
      <c r="B227" s="6">
        <v>45689</v>
      </c>
      <c r="C227" s="5" t="s">
        <v>16</v>
      </c>
      <c r="D227" s="5" t="s">
        <v>32</v>
      </c>
      <c r="E227" s="5">
        <v>57225.98</v>
      </c>
      <c r="F227" s="5">
        <v>2842</v>
      </c>
      <c r="G227" s="5">
        <v>0.112</v>
      </c>
      <c r="H227" s="5">
        <v>10</v>
      </c>
      <c r="I227" s="5">
        <v>79.5</v>
      </c>
      <c r="J227" s="5">
        <v>5.45</v>
      </c>
      <c r="K227" s="5">
        <v>0</v>
      </c>
      <c r="L227" s="5">
        <v>3.4</v>
      </c>
      <c r="M227" s="5">
        <v>536545.49</v>
      </c>
      <c r="N227" s="5">
        <v>97917.45</v>
      </c>
      <c r="O227">
        <f t="shared" si="9"/>
        <v>1</v>
      </c>
      <c r="P227">
        <f t="shared" si="10"/>
        <v>0</v>
      </c>
      <c r="Q227">
        <f t="shared" si="11"/>
        <v>0</v>
      </c>
    </row>
    <row r="228" spans="1:17" x14ac:dyDescent="0.3">
      <c r="A228" s="5" t="s">
        <v>82</v>
      </c>
      <c r="B228" s="6">
        <v>45717</v>
      </c>
      <c r="C228" s="5" t="s">
        <v>16</v>
      </c>
      <c r="D228" s="5" t="s">
        <v>32</v>
      </c>
      <c r="E228" s="5">
        <v>42932.02</v>
      </c>
      <c r="F228" s="5">
        <v>3872</v>
      </c>
      <c r="G228" s="5">
        <v>0.17100000000000001</v>
      </c>
      <c r="H228" s="5">
        <v>12</v>
      </c>
      <c r="I228" s="5">
        <v>83.2</v>
      </c>
      <c r="J228" s="5">
        <v>15.58</v>
      </c>
      <c r="K228" s="5">
        <v>0</v>
      </c>
      <c r="L228" s="5">
        <v>3.3</v>
      </c>
      <c r="M228" s="5">
        <v>527681.56000000006</v>
      </c>
      <c r="N228" s="5">
        <v>63153.05</v>
      </c>
      <c r="O228">
        <f t="shared" si="9"/>
        <v>1</v>
      </c>
      <c r="P228">
        <f t="shared" si="10"/>
        <v>0</v>
      </c>
      <c r="Q228">
        <f t="shared" si="11"/>
        <v>0</v>
      </c>
    </row>
    <row r="229" spans="1:17" x14ac:dyDescent="0.3">
      <c r="A229" s="5" t="s">
        <v>82</v>
      </c>
      <c r="B229" s="6">
        <v>45748</v>
      </c>
      <c r="C229" s="5" t="s">
        <v>16</v>
      </c>
      <c r="D229" s="5" t="s">
        <v>32</v>
      </c>
      <c r="E229" s="5">
        <v>39341.449999999997</v>
      </c>
      <c r="F229" s="5">
        <v>1375</v>
      </c>
      <c r="G229" s="5">
        <v>9.2999999999999999E-2</v>
      </c>
      <c r="H229" s="5">
        <v>5</v>
      </c>
      <c r="I229" s="5">
        <v>95</v>
      </c>
      <c r="J229" s="5">
        <v>5.32</v>
      </c>
      <c r="K229" s="5">
        <v>0</v>
      </c>
      <c r="L229" s="5">
        <v>3.9246789999999998</v>
      </c>
      <c r="M229" s="5">
        <v>529598.93999999994</v>
      </c>
      <c r="N229" s="5">
        <v>84334.33</v>
      </c>
      <c r="O229">
        <f t="shared" si="9"/>
        <v>1</v>
      </c>
      <c r="P229">
        <f t="shared" si="10"/>
        <v>0</v>
      </c>
      <c r="Q229">
        <f t="shared" si="11"/>
        <v>0</v>
      </c>
    </row>
    <row r="230" spans="1:17" x14ac:dyDescent="0.3">
      <c r="A230" s="5" t="s">
        <v>83</v>
      </c>
      <c r="B230" s="6">
        <v>45658</v>
      </c>
      <c r="C230" s="5" t="s">
        <v>16</v>
      </c>
      <c r="D230" s="5" t="s">
        <v>22</v>
      </c>
      <c r="E230" s="5">
        <v>37324.230000000003</v>
      </c>
      <c r="F230" s="5">
        <v>5957</v>
      </c>
      <c r="G230" s="5">
        <v>7.0999999999999994E-2</v>
      </c>
      <c r="H230" s="5">
        <v>12</v>
      </c>
      <c r="I230" s="5">
        <v>85.9</v>
      </c>
      <c r="J230" s="5">
        <v>0.37</v>
      </c>
      <c r="K230" s="5">
        <v>0</v>
      </c>
      <c r="L230" s="5">
        <v>3.8</v>
      </c>
      <c r="M230" s="5">
        <v>570963.31000000006</v>
      </c>
      <c r="N230" s="5">
        <v>87342.25</v>
      </c>
      <c r="O230">
        <f t="shared" si="9"/>
        <v>1</v>
      </c>
      <c r="P230">
        <f t="shared" si="10"/>
        <v>0</v>
      </c>
      <c r="Q230">
        <f t="shared" si="11"/>
        <v>0</v>
      </c>
    </row>
    <row r="231" spans="1:17" x14ac:dyDescent="0.3">
      <c r="A231" s="5" t="s">
        <v>83</v>
      </c>
      <c r="B231" s="6">
        <v>45689</v>
      </c>
      <c r="C231" s="5" t="s">
        <v>16</v>
      </c>
      <c r="D231" s="5" t="s">
        <v>22</v>
      </c>
      <c r="E231" s="5">
        <v>113736</v>
      </c>
      <c r="F231" s="5">
        <v>8961</v>
      </c>
      <c r="G231" s="5">
        <v>0.20200000000000001</v>
      </c>
      <c r="H231" s="5">
        <v>24</v>
      </c>
      <c r="I231" s="5">
        <v>86.2</v>
      </c>
      <c r="J231" s="5">
        <v>21.63</v>
      </c>
      <c r="K231" s="5">
        <v>0</v>
      </c>
      <c r="L231" s="5">
        <v>4</v>
      </c>
      <c r="M231" s="5">
        <v>870937.4</v>
      </c>
      <c r="N231" s="5">
        <v>175282.74</v>
      </c>
      <c r="O231">
        <f t="shared" si="9"/>
        <v>1</v>
      </c>
      <c r="P231">
        <f t="shared" si="10"/>
        <v>0</v>
      </c>
      <c r="Q231">
        <f t="shared" si="11"/>
        <v>0</v>
      </c>
    </row>
    <row r="232" spans="1:17" x14ac:dyDescent="0.3">
      <c r="A232" s="5" t="s">
        <v>83</v>
      </c>
      <c r="B232" s="6">
        <v>45717</v>
      </c>
      <c r="C232" s="5" t="s">
        <v>16</v>
      </c>
      <c r="D232" s="5" t="s">
        <v>22</v>
      </c>
      <c r="E232" s="5">
        <v>33173.949999999997</v>
      </c>
      <c r="F232" s="5">
        <v>6545</v>
      </c>
      <c r="G232" s="5">
        <v>0.16900000000000001</v>
      </c>
      <c r="H232" s="5">
        <v>15</v>
      </c>
      <c r="I232" s="5">
        <v>84.4</v>
      </c>
      <c r="J232" s="5">
        <v>2.48</v>
      </c>
      <c r="K232" s="5">
        <v>0</v>
      </c>
      <c r="L232" s="5">
        <v>3.9</v>
      </c>
      <c r="M232" s="5">
        <v>596969.27</v>
      </c>
      <c r="N232" s="5">
        <v>105669.51</v>
      </c>
      <c r="O232">
        <f t="shared" si="9"/>
        <v>1</v>
      </c>
      <c r="P232">
        <f t="shared" si="10"/>
        <v>0</v>
      </c>
      <c r="Q232">
        <f t="shared" si="11"/>
        <v>0</v>
      </c>
    </row>
    <row r="233" spans="1:17" x14ac:dyDescent="0.3">
      <c r="A233" s="5" t="s">
        <v>83</v>
      </c>
      <c r="B233" s="6">
        <v>45748</v>
      </c>
      <c r="C233" s="5" t="s">
        <v>16</v>
      </c>
      <c r="D233" s="5" t="s">
        <v>22</v>
      </c>
      <c r="E233" s="5">
        <v>25818.080000000002</v>
      </c>
      <c r="F233" s="5">
        <v>5457</v>
      </c>
      <c r="G233" s="5">
        <v>0</v>
      </c>
      <c r="H233" s="5">
        <v>11</v>
      </c>
      <c r="I233" s="5">
        <v>95.4</v>
      </c>
      <c r="J233" s="5">
        <v>4.5590450000000002</v>
      </c>
      <c r="K233" s="5">
        <v>0</v>
      </c>
      <c r="L233" s="5">
        <v>3.7</v>
      </c>
      <c r="M233" s="5">
        <v>647512.85</v>
      </c>
      <c r="N233" s="5">
        <v>153835.57</v>
      </c>
      <c r="O233">
        <f t="shared" si="9"/>
        <v>1</v>
      </c>
      <c r="P233">
        <f t="shared" si="10"/>
        <v>0</v>
      </c>
      <c r="Q233">
        <f t="shared" si="11"/>
        <v>0</v>
      </c>
    </row>
    <row r="234" spans="1:17" x14ac:dyDescent="0.3">
      <c r="A234" s="5" t="s">
        <v>84</v>
      </c>
      <c r="B234" s="6">
        <v>45658</v>
      </c>
      <c r="C234" s="5" t="s">
        <v>31</v>
      </c>
      <c r="D234" s="5" t="s">
        <v>17</v>
      </c>
      <c r="E234" s="5">
        <v>47241.919999999998</v>
      </c>
      <c r="F234" s="5">
        <v>4264</v>
      </c>
      <c r="G234" s="5">
        <v>6.9000000000000006E-2</v>
      </c>
      <c r="H234" s="5">
        <v>13</v>
      </c>
      <c r="I234" s="5">
        <v>95.3</v>
      </c>
      <c r="J234" s="5">
        <v>0.85</v>
      </c>
      <c r="K234" s="5">
        <v>0</v>
      </c>
      <c r="L234" s="5">
        <v>4.3</v>
      </c>
      <c r="M234" s="5">
        <v>658072.14</v>
      </c>
      <c r="N234" s="5">
        <v>110595.89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 x14ac:dyDescent="0.3">
      <c r="A235" s="5" t="s">
        <v>84</v>
      </c>
      <c r="B235" s="6">
        <v>45689</v>
      </c>
      <c r="C235" s="5" t="s">
        <v>31</v>
      </c>
      <c r="D235" s="5" t="s">
        <v>17</v>
      </c>
      <c r="E235" s="5">
        <v>61650.79</v>
      </c>
      <c r="F235" s="5">
        <v>5321</v>
      </c>
      <c r="G235" s="5">
        <v>0.126</v>
      </c>
      <c r="H235" s="5">
        <v>17</v>
      </c>
      <c r="I235" s="5">
        <v>89.2</v>
      </c>
      <c r="J235" s="5">
        <v>2.13</v>
      </c>
      <c r="K235" s="5">
        <v>0</v>
      </c>
      <c r="L235" s="5">
        <v>4</v>
      </c>
      <c r="M235" s="5">
        <v>723305.11</v>
      </c>
      <c r="N235" s="5">
        <v>128468.7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 x14ac:dyDescent="0.3">
      <c r="A236" s="5" t="s">
        <v>84</v>
      </c>
      <c r="B236" s="6">
        <v>45717</v>
      </c>
      <c r="C236" s="5" t="s">
        <v>31</v>
      </c>
      <c r="D236" s="5" t="s">
        <v>17</v>
      </c>
      <c r="E236" s="5">
        <v>62582.71</v>
      </c>
      <c r="F236" s="5">
        <v>5479</v>
      </c>
      <c r="G236" s="5">
        <v>4.8000000000000001E-2</v>
      </c>
      <c r="H236" s="5">
        <v>16</v>
      </c>
      <c r="I236" s="5">
        <v>81.2</v>
      </c>
      <c r="J236" s="5">
        <v>1.46</v>
      </c>
      <c r="K236" s="5">
        <v>0</v>
      </c>
      <c r="L236" s="5">
        <v>4.5</v>
      </c>
      <c r="M236" s="5">
        <v>640666.53</v>
      </c>
      <c r="N236" s="5">
        <v>134919.16</v>
      </c>
      <c r="O236">
        <f t="shared" si="9"/>
        <v>0</v>
      </c>
      <c r="P236">
        <f t="shared" si="10"/>
        <v>0</v>
      </c>
      <c r="Q236">
        <f t="shared" si="11"/>
        <v>1</v>
      </c>
    </row>
    <row r="237" spans="1:17" x14ac:dyDescent="0.3">
      <c r="A237" s="5" t="s">
        <v>84</v>
      </c>
      <c r="B237" s="6">
        <v>45748</v>
      </c>
      <c r="C237" s="5" t="s">
        <v>31</v>
      </c>
      <c r="D237" s="5" t="s">
        <v>17</v>
      </c>
      <c r="E237" s="5">
        <v>47944.14</v>
      </c>
      <c r="F237" s="5">
        <v>6169</v>
      </c>
      <c r="G237" s="5">
        <v>0.11899999999999999</v>
      </c>
      <c r="H237" s="5">
        <v>17</v>
      </c>
      <c r="I237" s="5">
        <v>92.2</v>
      </c>
      <c r="J237" s="5">
        <v>3.02</v>
      </c>
      <c r="K237" s="5">
        <v>0</v>
      </c>
      <c r="L237" s="5">
        <v>4.0999999999999996</v>
      </c>
      <c r="M237" s="5">
        <v>670629.48</v>
      </c>
      <c r="N237" s="5">
        <v>100140.8</v>
      </c>
      <c r="O237">
        <f t="shared" si="9"/>
        <v>0</v>
      </c>
      <c r="P237">
        <f t="shared" si="10"/>
        <v>0</v>
      </c>
      <c r="Q237">
        <f t="shared" si="11"/>
        <v>1</v>
      </c>
    </row>
    <row r="238" spans="1:17" x14ac:dyDescent="0.3">
      <c r="A238" s="5" t="s">
        <v>85</v>
      </c>
      <c r="B238" s="6">
        <v>45658</v>
      </c>
      <c r="C238" s="5" t="s">
        <v>31</v>
      </c>
      <c r="D238" s="5" t="s">
        <v>32</v>
      </c>
      <c r="E238" s="5">
        <v>46495.4</v>
      </c>
      <c r="F238" s="5">
        <v>9908</v>
      </c>
      <c r="G238" s="5">
        <v>0.121</v>
      </c>
      <c r="H238" s="5">
        <v>22</v>
      </c>
      <c r="I238" s="5">
        <v>89.4</v>
      </c>
      <c r="J238" s="5">
        <v>3.22</v>
      </c>
      <c r="K238" s="5">
        <v>0</v>
      </c>
      <c r="L238" s="5">
        <v>3.7</v>
      </c>
      <c r="M238" s="5">
        <v>721079.35</v>
      </c>
      <c r="N238" s="5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 x14ac:dyDescent="0.3">
      <c r="A239" s="5" t="s">
        <v>85</v>
      </c>
      <c r="B239" s="6">
        <v>45689</v>
      </c>
      <c r="C239" s="5" t="s">
        <v>31</v>
      </c>
      <c r="D239" s="5" t="s">
        <v>32</v>
      </c>
      <c r="E239" s="5">
        <v>72961.95</v>
      </c>
      <c r="F239" s="5">
        <v>9996</v>
      </c>
      <c r="G239" s="5">
        <v>0.106</v>
      </c>
      <c r="H239" s="5">
        <v>22</v>
      </c>
      <c r="I239" s="5">
        <v>89.1</v>
      </c>
      <c r="J239" s="5">
        <v>15.66</v>
      </c>
      <c r="K239" s="5">
        <v>0</v>
      </c>
      <c r="L239" s="5">
        <v>3.4</v>
      </c>
      <c r="M239" s="5">
        <v>810355.02</v>
      </c>
      <c r="N239" s="5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 x14ac:dyDescent="0.3">
      <c r="A240" s="5" t="s">
        <v>85</v>
      </c>
      <c r="B240" s="6">
        <v>45717</v>
      </c>
      <c r="C240" s="5" t="s">
        <v>31</v>
      </c>
      <c r="D240" s="5" t="s">
        <v>32</v>
      </c>
      <c r="E240" s="5">
        <v>59060.05</v>
      </c>
      <c r="F240" s="5">
        <v>9702</v>
      </c>
      <c r="G240" s="5">
        <v>0.20100000000000001</v>
      </c>
      <c r="H240" s="5">
        <v>23</v>
      </c>
      <c r="I240" s="5">
        <v>80.900000000000006</v>
      </c>
      <c r="J240" s="5">
        <v>6.96</v>
      </c>
      <c r="K240" s="5">
        <v>0</v>
      </c>
      <c r="L240" s="5">
        <v>3.2</v>
      </c>
      <c r="M240" s="5">
        <v>761919.25</v>
      </c>
      <c r="N240" s="5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 x14ac:dyDescent="0.3">
      <c r="A241" s="5" t="s">
        <v>85</v>
      </c>
      <c r="B241" s="6">
        <v>45748</v>
      </c>
      <c r="C241" s="5" t="s">
        <v>31</v>
      </c>
      <c r="D241" s="5" t="s">
        <v>32</v>
      </c>
      <c r="E241" s="5">
        <v>26248.1</v>
      </c>
      <c r="F241" s="5">
        <v>9314</v>
      </c>
      <c r="G241" s="5">
        <v>0.186</v>
      </c>
      <c r="H241" s="5">
        <v>21</v>
      </c>
      <c r="I241" s="5">
        <v>83.7</v>
      </c>
      <c r="J241" s="5">
        <v>4.62</v>
      </c>
      <c r="K241" s="5">
        <v>0</v>
      </c>
      <c r="L241" s="5">
        <v>3.3</v>
      </c>
      <c r="M241" s="5">
        <v>737070.18</v>
      </c>
      <c r="N241" s="5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 x14ac:dyDescent="0.3">
      <c r="A242" s="5" t="s">
        <v>86</v>
      </c>
      <c r="B242" s="6">
        <v>45658</v>
      </c>
      <c r="C242" s="5" t="s">
        <v>28</v>
      </c>
      <c r="D242" s="5" t="s">
        <v>25</v>
      </c>
      <c r="E242" s="5">
        <v>69900.12</v>
      </c>
      <c r="F242" s="5">
        <v>8055</v>
      </c>
      <c r="G242" s="5">
        <v>0.28100000000000003</v>
      </c>
      <c r="H242" s="5">
        <v>22</v>
      </c>
      <c r="I242" s="5">
        <v>85.6</v>
      </c>
      <c r="J242" s="5">
        <v>10.68</v>
      </c>
      <c r="K242" s="5">
        <v>1</v>
      </c>
      <c r="L242" s="5">
        <v>2.9</v>
      </c>
      <c r="M242" s="5">
        <v>776992.93</v>
      </c>
      <c r="N242" s="5">
        <v>101598.32</v>
      </c>
      <c r="O242">
        <f t="shared" si="9"/>
        <v>0</v>
      </c>
      <c r="P242">
        <f t="shared" si="10"/>
        <v>0</v>
      </c>
      <c r="Q242">
        <f t="shared" si="11"/>
        <v>0</v>
      </c>
    </row>
    <row r="243" spans="1:17" x14ac:dyDescent="0.3">
      <c r="A243" s="5" t="s">
        <v>86</v>
      </c>
      <c r="B243" s="6">
        <v>45689</v>
      </c>
      <c r="C243" s="5" t="s">
        <v>28</v>
      </c>
      <c r="D243" s="5" t="s">
        <v>25</v>
      </c>
      <c r="E243" s="5">
        <v>51781.599999999999</v>
      </c>
      <c r="F243" s="5">
        <v>5648</v>
      </c>
      <c r="G243" s="5">
        <v>5.8999999999999997E-2</v>
      </c>
      <c r="H243" s="5">
        <v>13</v>
      </c>
      <c r="I243" s="5">
        <v>85.5</v>
      </c>
      <c r="J243" s="5">
        <v>4.04</v>
      </c>
      <c r="K243" s="5">
        <v>0</v>
      </c>
      <c r="L243" s="5">
        <v>3.7</v>
      </c>
      <c r="M243" s="5">
        <v>676337.41</v>
      </c>
      <c r="N243" s="5">
        <v>104355.77</v>
      </c>
      <c r="O243">
        <f t="shared" si="9"/>
        <v>0</v>
      </c>
      <c r="P243">
        <f t="shared" si="10"/>
        <v>0</v>
      </c>
      <c r="Q243">
        <f t="shared" si="11"/>
        <v>0</v>
      </c>
    </row>
    <row r="244" spans="1:17" x14ac:dyDescent="0.3">
      <c r="A244" s="5" t="s">
        <v>86</v>
      </c>
      <c r="B244" s="6">
        <v>45717</v>
      </c>
      <c r="C244" s="5" t="s">
        <v>28</v>
      </c>
      <c r="D244" s="5" t="s">
        <v>25</v>
      </c>
      <c r="E244" s="5">
        <v>70799.64</v>
      </c>
      <c r="F244" s="5">
        <v>10076</v>
      </c>
      <c r="G244" s="5">
        <v>0.152</v>
      </c>
      <c r="H244" s="5">
        <v>24</v>
      </c>
      <c r="I244" s="5">
        <v>84.8</v>
      </c>
      <c r="J244" s="5">
        <v>1.87</v>
      </c>
      <c r="K244" s="5">
        <v>0</v>
      </c>
      <c r="L244" s="5">
        <v>3.5</v>
      </c>
      <c r="M244" s="5">
        <v>828219.67</v>
      </c>
      <c r="N244" s="5">
        <v>179806.87</v>
      </c>
      <c r="O244">
        <f t="shared" si="9"/>
        <v>0</v>
      </c>
      <c r="P244">
        <f t="shared" si="10"/>
        <v>0</v>
      </c>
      <c r="Q244">
        <f t="shared" si="11"/>
        <v>0</v>
      </c>
    </row>
    <row r="245" spans="1:17" x14ac:dyDescent="0.3">
      <c r="A245" s="5" t="s">
        <v>86</v>
      </c>
      <c r="B245" s="6">
        <v>45748</v>
      </c>
      <c r="C245" s="5" t="s">
        <v>28</v>
      </c>
      <c r="D245" s="5" t="s">
        <v>25</v>
      </c>
      <c r="E245" s="5">
        <v>53546.34</v>
      </c>
      <c r="F245" s="5">
        <v>8004</v>
      </c>
      <c r="G245" s="5">
        <v>0</v>
      </c>
      <c r="H245" s="5">
        <v>21</v>
      </c>
      <c r="I245" s="5">
        <v>95.2</v>
      </c>
      <c r="J245" s="5">
        <v>2.83</v>
      </c>
      <c r="K245" s="5">
        <v>0</v>
      </c>
      <c r="L245" s="5">
        <v>3</v>
      </c>
      <c r="M245" s="5">
        <v>763159.92</v>
      </c>
      <c r="N245" s="5">
        <v>177104.87</v>
      </c>
      <c r="O245">
        <f t="shared" si="9"/>
        <v>0</v>
      </c>
      <c r="P245">
        <f t="shared" si="10"/>
        <v>0</v>
      </c>
      <c r="Q245">
        <f t="shared" si="11"/>
        <v>0</v>
      </c>
    </row>
    <row r="246" spans="1:17" x14ac:dyDescent="0.3">
      <c r="A246" s="5" t="s">
        <v>87</v>
      </c>
      <c r="B246" s="6">
        <v>45658</v>
      </c>
      <c r="C246" s="5" t="s">
        <v>16</v>
      </c>
      <c r="D246" s="5" t="s">
        <v>22</v>
      </c>
      <c r="E246" s="5">
        <v>76942.2</v>
      </c>
      <c r="F246" s="5">
        <v>8934</v>
      </c>
      <c r="G246" s="5">
        <v>8.4000000000000005E-2</v>
      </c>
      <c r="H246" s="5">
        <v>20</v>
      </c>
      <c r="I246" s="5">
        <v>91</v>
      </c>
      <c r="J246" s="5">
        <v>0.95</v>
      </c>
      <c r="K246" s="5">
        <v>0</v>
      </c>
      <c r="L246" s="5">
        <v>3.2</v>
      </c>
      <c r="M246" s="5">
        <v>802001.68</v>
      </c>
      <c r="N246" s="5">
        <v>159715.82</v>
      </c>
      <c r="O246">
        <f t="shared" si="9"/>
        <v>1</v>
      </c>
      <c r="P246">
        <f t="shared" si="10"/>
        <v>0</v>
      </c>
      <c r="Q246">
        <f t="shared" si="11"/>
        <v>0</v>
      </c>
    </row>
    <row r="247" spans="1:17" x14ac:dyDescent="0.3">
      <c r="A247" s="5" t="s">
        <v>87</v>
      </c>
      <c r="B247" s="6">
        <v>45689</v>
      </c>
      <c r="C247" s="5" t="s">
        <v>16</v>
      </c>
      <c r="D247" s="5" t="s">
        <v>22</v>
      </c>
      <c r="E247" s="5">
        <v>48060.78</v>
      </c>
      <c r="F247" s="5">
        <v>8733</v>
      </c>
      <c r="G247" s="5">
        <v>0</v>
      </c>
      <c r="H247" s="5">
        <v>20</v>
      </c>
      <c r="I247" s="5">
        <v>89.9</v>
      </c>
      <c r="J247" s="5">
        <v>0.8</v>
      </c>
      <c r="K247" s="5">
        <v>0</v>
      </c>
      <c r="L247" s="5">
        <v>3.4</v>
      </c>
      <c r="M247" s="5">
        <v>750471.34</v>
      </c>
      <c r="N247" s="5">
        <v>133788.04</v>
      </c>
      <c r="O247">
        <f t="shared" si="9"/>
        <v>1</v>
      </c>
      <c r="P247">
        <f t="shared" si="10"/>
        <v>0</v>
      </c>
      <c r="Q247">
        <f t="shared" si="11"/>
        <v>0</v>
      </c>
    </row>
    <row r="248" spans="1:17" x14ac:dyDescent="0.3">
      <c r="A248" s="5" t="s">
        <v>87</v>
      </c>
      <c r="B248" s="6">
        <v>45717</v>
      </c>
      <c r="C248" s="5" t="s">
        <v>16</v>
      </c>
      <c r="D248" s="5" t="s">
        <v>22</v>
      </c>
      <c r="E248" s="5">
        <v>57390.04</v>
      </c>
      <c r="F248" s="5">
        <v>7374</v>
      </c>
      <c r="G248" s="5">
        <v>0.21</v>
      </c>
      <c r="H248" s="5">
        <v>21</v>
      </c>
      <c r="I248" s="5">
        <v>91.8</v>
      </c>
      <c r="J248" s="5">
        <v>0.2</v>
      </c>
      <c r="K248" s="5">
        <v>0</v>
      </c>
      <c r="L248" s="5">
        <v>3.1</v>
      </c>
      <c r="M248" s="5">
        <v>679230.86</v>
      </c>
      <c r="N248" s="5">
        <v>106927.58</v>
      </c>
      <c r="O248">
        <f t="shared" si="9"/>
        <v>1</v>
      </c>
      <c r="P248">
        <f t="shared" si="10"/>
        <v>0</v>
      </c>
      <c r="Q248">
        <f t="shared" si="11"/>
        <v>0</v>
      </c>
    </row>
    <row r="249" spans="1:17" x14ac:dyDescent="0.3">
      <c r="A249" s="5" t="s">
        <v>87</v>
      </c>
      <c r="B249" s="6">
        <v>45748</v>
      </c>
      <c r="C249" s="5" t="s">
        <v>16</v>
      </c>
      <c r="D249" s="5" t="s">
        <v>22</v>
      </c>
      <c r="E249" s="5">
        <v>21536.18</v>
      </c>
      <c r="F249" s="5">
        <v>8119</v>
      </c>
      <c r="G249" s="5">
        <v>0.22700000000000001</v>
      </c>
      <c r="H249" s="5">
        <v>20</v>
      </c>
      <c r="I249" s="5">
        <v>90.4</v>
      </c>
      <c r="J249" s="5">
        <v>1.7</v>
      </c>
      <c r="K249" s="5">
        <v>0</v>
      </c>
      <c r="L249" s="5">
        <v>3.3</v>
      </c>
      <c r="M249" s="5">
        <v>679888.74</v>
      </c>
      <c r="N249" s="5">
        <v>83406.89</v>
      </c>
      <c r="O249">
        <f t="shared" si="9"/>
        <v>1</v>
      </c>
      <c r="P249">
        <f t="shared" si="10"/>
        <v>0</v>
      </c>
      <c r="Q249">
        <f t="shared" si="11"/>
        <v>0</v>
      </c>
    </row>
    <row r="250" spans="1:17" x14ac:dyDescent="0.3">
      <c r="A250" s="5" t="s">
        <v>88</v>
      </c>
      <c r="B250" s="6">
        <v>45658</v>
      </c>
      <c r="C250" s="5" t="s">
        <v>24</v>
      </c>
      <c r="D250" s="5" t="s">
        <v>22</v>
      </c>
      <c r="E250" s="5">
        <v>40923.67</v>
      </c>
      <c r="F250" s="5">
        <v>3875</v>
      </c>
      <c r="G250" s="5">
        <v>0.15</v>
      </c>
      <c r="H250" s="5">
        <v>10</v>
      </c>
      <c r="I250" s="5">
        <v>96.1</v>
      </c>
      <c r="J250" s="5">
        <v>4.5590450000000002</v>
      </c>
      <c r="K250" s="5">
        <v>0</v>
      </c>
      <c r="L250" s="5">
        <v>3.8</v>
      </c>
      <c r="M250" s="5">
        <v>606783.67000000004</v>
      </c>
      <c r="N250" s="5">
        <v>74515.87</v>
      </c>
      <c r="O250">
        <f t="shared" si="9"/>
        <v>0</v>
      </c>
      <c r="P250">
        <f t="shared" si="10"/>
        <v>1</v>
      </c>
      <c r="Q250">
        <f t="shared" si="11"/>
        <v>0</v>
      </c>
    </row>
    <row r="251" spans="1:17" x14ac:dyDescent="0.3">
      <c r="A251" s="5" t="s">
        <v>88</v>
      </c>
      <c r="B251" s="6">
        <v>45689</v>
      </c>
      <c r="C251" s="5" t="s">
        <v>24</v>
      </c>
      <c r="D251" s="5" t="s">
        <v>22</v>
      </c>
      <c r="E251" s="5">
        <v>72932.55</v>
      </c>
      <c r="F251" s="5">
        <v>5765</v>
      </c>
      <c r="G251" s="5">
        <v>2.5999999999999999E-2</v>
      </c>
      <c r="H251" s="5">
        <v>17</v>
      </c>
      <c r="I251" s="5">
        <v>81.8</v>
      </c>
      <c r="J251" s="5">
        <v>5.0999999999999996</v>
      </c>
      <c r="K251" s="5">
        <v>0</v>
      </c>
      <c r="L251" s="5">
        <v>3.6</v>
      </c>
      <c r="M251" s="5">
        <v>642751.42000000004</v>
      </c>
      <c r="N251" s="5">
        <v>131942.15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 x14ac:dyDescent="0.3">
      <c r="A252" s="5" t="s">
        <v>88</v>
      </c>
      <c r="B252" s="6">
        <v>45717</v>
      </c>
      <c r="C252" s="5" t="s">
        <v>24</v>
      </c>
      <c r="D252" s="5" t="s">
        <v>22</v>
      </c>
      <c r="E252" s="5">
        <v>38361.93</v>
      </c>
      <c r="F252" s="5">
        <v>6322</v>
      </c>
      <c r="G252" s="5">
        <v>0.27300000000000002</v>
      </c>
      <c r="H252" s="5">
        <v>15</v>
      </c>
      <c r="I252" s="5">
        <v>88.4</v>
      </c>
      <c r="J252" s="5">
        <v>0.83</v>
      </c>
      <c r="K252" s="5">
        <v>0</v>
      </c>
      <c r="L252" s="5">
        <v>4</v>
      </c>
      <c r="M252" s="5">
        <v>647953.78</v>
      </c>
      <c r="N252" s="5">
        <v>118497.43</v>
      </c>
      <c r="O252">
        <f t="shared" si="9"/>
        <v>0</v>
      </c>
      <c r="P252">
        <f t="shared" si="10"/>
        <v>1</v>
      </c>
      <c r="Q252">
        <f t="shared" si="11"/>
        <v>0</v>
      </c>
    </row>
    <row r="253" spans="1:17" x14ac:dyDescent="0.3">
      <c r="A253" s="5" t="s">
        <v>88</v>
      </c>
      <c r="B253" s="6">
        <v>45748</v>
      </c>
      <c r="C253" s="5" t="s">
        <v>24</v>
      </c>
      <c r="D253" s="5" t="s">
        <v>22</v>
      </c>
      <c r="E253" s="5">
        <v>97480.94</v>
      </c>
      <c r="F253" s="5">
        <v>6840</v>
      </c>
      <c r="G253" s="5">
        <v>8.6999999999999994E-2</v>
      </c>
      <c r="H253" s="5">
        <v>14</v>
      </c>
      <c r="I253" s="5">
        <v>79.2</v>
      </c>
      <c r="J253" s="5">
        <v>1.1399999999999999</v>
      </c>
      <c r="K253" s="5">
        <v>0</v>
      </c>
      <c r="L253" s="5">
        <v>4</v>
      </c>
      <c r="M253" s="5">
        <v>729440.45</v>
      </c>
      <c r="N253" s="5">
        <v>87614.29</v>
      </c>
      <c r="O253">
        <f t="shared" si="9"/>
        <v>0</v>
      </c>
      <c r="P253">
        <f t="shared" si="10"/>
        <v>1</v>
      </c>
      <c r="Q253">
        <f t="shared" si="11"/>
        <v>0</v>
      </c>
    </row>
    <row r="254" spans="1:17" x14ac:dyDescent="0.3">
      <c r="A254" s="5" t="s">
        <v>89</v>
      </c>
      <c r="B254" s="6">
        <v>45658</v>
      </c>
      <c r="C254" s="5" t="s">
        <v>28</v>
      </c>
      <c r="D254" s="5" t="s">
        <v>25</v>
      </c>
      <c r="E254" s="5">
        <v>81801.8</v>
      </c>
      <c r="F254" s="5">
        <v>6782</v>
      </c>
      <c r="G254" s="5">
        <v>0.05</v>
      </c>
      <c r="H254" s="5">
        <v>16</v>
      </c>
      <c r="I254" s="5">
        <v>99</v>
      </c>
      <c r="J254" s="5">
        <v>9.5399999999999991</v>
      </c>
      <c r="K254" s="5">
        <v>0</v>
      </c>
      <c r="L254" s="5">
        <v>3.7</v>
      </c>
      <c r="M254" s="5">
        <v>764949</v>
      </c>
      <c r="N254" s="5">
        <v>148322.43</v>
      </c>
      <c r="O254">
        <f t="shared" si="9"/>
        <v>0</v>
      </c>
      <c r="P254">
        <f t="shared" si="10"/>
        <v>0</v>
      </c>
      <c r="Q254">
        <f t="shared" si="11"/>
        <v>0</v>
      </c>
    </row>
    <row r="255" spans="1:17" x14ac:dyDescent="0.3">
      <c r="A255" s="5" t="s">
        <v>89</v>
      </c>
      <c r="B255" s="6">
        <v>45689</v>
      </c>
      <c r="C255" s="5" t="s">
        <v>28</v>
      </c>
      <c r="D255" s="5" t="s">
        <v>25</v>
      </c>
      <c r="E255" s="5">
        <v>63582.11</v>
      </c>
      <c r="F255" s="5">
        <v>6856</v>
      </c>
      <c r="G255" s="5">
        <v>7.3999999999999996E-2</v>
      </c>
      <c r="H255" s="5">
        <v>17</v>
      </c>
      <c r="I255" s="5">
        <v>89.5</v>
      </c>
      <c r="J255" s="5">
        <v>5.48</v>
      </c>
      <c r="K255" s="5">
        <v>0</v>
      </c>
      <c r="L255" s="5">
        <v>3.2</v>
      </c>
      <c r="M255" s="5">
        <v>799046.94</v>
      </c>
      <c r="N255" s="5">
        <v>144553.64000000001</v>
      </c>
      <c r="O255">
        <f t="shared" si="9"/>
        <v>0</v>
      </c>
      <c r="P255">
        <f t="shared" si="10"/>
        <v>0</v>
      </c>
      <c r="Q255">
        <f t="shared" si="11"/>
        <v>0</v>
      </c>
    </row>
    <row r="256" spans="1:17" x14ac:dyDescent="0.3">
      <c r="A256" s="5" t="s">
        <v>89</v>
      </c>
      <c r="B256" s="6">
        <v>45717</v>
      </c>
      <c r="C256" s="5" t="s">
        <v>28</v>
      </c>
      <c r="D256" s="5" t="s">
        <v>25</v>
      </c>
      <c r="E256" s="5">
        <v>75412.740000000005</v>
      </c>
      <c r="F256" s="5">
        <v>5641</v>
      </c>
      <c r="G256" s="5">
        <v>5.8999999999999997E-2</v>
      </c>
      <c r="H256" s="5">
        <v>13</v>
      </c>
      <c r="I256" s="5">
        <v>87.9</v>
      </c>
      <c r="J256" s="5">
        <v>0.84</v>
      </c>
      <c r="K256" s="5">
        <v>0</v>
      </c>
      <c r="L256" s="5">
        <v>3.6</v>
      </c>
      <c r="M256" s="5">
        <v>720079.54</v>
      </c>
      <c r="N256" s="5">
        <v>119499.47</v>
      </c>
      <c r="O256">
        <f t="shared" si="9"/>
        <v>0</v>
      </c>
      <c r="P256">
        <f t="shared" si="10"/>
        <v>0</v>
      </c>
      <c r="Q256">
        <f t="shared" si="11"/>
        <v>0</v>
      </c>
    </row>
    <row r="257" spans="1:17" x14ac:dyDescent="0.3">
      <c r="A257" s="5" t="s">
        <v>89</v>
      </c>
      <c r="B257" s="6">
        <v>45748</v>
      </c>
      <c r="C257" s="5" t="s">
        <v>28</v>
      </c>
      <c r="D257" s="5" t="s">
        <v>25</v>
      </c>
      <c r="E257" s="5">
        <v>36290.080000000002</v>
      </c>
      <c r="F257" s="5">
        <v>5787</v>
      </c>
      <c r="G257" s="5">
        <v>0</v>
      </c>
      <c r="H257" s="5">
        <v>17</v>
      </c>
      <c r="I257" s="5">
        <v>88.3</v>
      </c>
      <c r="J257" s="5">
        <v>4.1900000000000004</v>
      </c>
      <c r="K257" s="5">
        <v>0</v>
      </c>
      <c r="L257" s="5">
        <v>4.0999999999999996</v>
      </c>
      <c r="M257" s="5">
        <v>612390.14</v>
      </c>
      <c r="N257" s="5">
        <v>108985.74</v>
      </c>
      <c r="O257">
        <f t="shared" si="9"/>
        <v>0</v>
      </c>
      <c r="P257">
        <f t="shared" si="10"/>
        <v>0</v>
      </c>
      <c r="Q257">
        <f t="shared" si="11"/>
        <v>0</v>
      </c>
    </row>
    <row r="258" spans="1:17" x14ac:dyDescent="0.3">
      <c r="A258" s="5" t="s">
        <v>90</v>
      </c>
      <c r="B258" s="6">
        <v>45658</v>
      </c>
      <c r="C258" s="5" t="s">
        <v>28</v>
      </c>
      <c r="D258" s="5" t="s">
        <v>32</v>
      </c>
      <c r="E258" s="5">
        <v>65272.58</v>
      </c>
      <c r="F258" s="5">
        <v>8165</v>
      </c>
      <c r="G258" s="5">
        <v>5.0999999999999997E-2</v>
      </c>
      <c r="H258" s="5">
        <v>19</v>
      </c>
      <c r="I258" s="5">
        <v>87.8</v>
      </c>
      <c r="J258" s="5">
        <v>1.26</v>
      </c>
      <c r="K258" s="5">
        <v>1</v>
      </c>
      <c r="L258" s="5">
        <v>4.3</v>
      </c>
      <c r="M258" s="5">
        <v>840108.12</v>
      </c>
      <c r="N258" s="5">
        <v>126587.01</v>
      </c>
      <c r="O258">
        <f t="shared" si="9"/>
        <v>0</v>
      </c>
      <c r="P258">
        <f t="shared" si="10"/>
        <v>0</v>
      </c>
      <c r="Q258">
        <f t="shared" si="11"/>
        <v>0</v>
      </c>
    </row>
    <row r="259" spans="1:17" x14ac:dyDescent="0.3">
      <c r="A259" s="5" t="s">
        <v>90</v>
      </c>
      <c r="B259" s="6">
        <v>45689</v>
      </c>
      <c r="C259" s="5" t="s">
        <v>28</v>
      </c>
      <c r="D259" s="5" t="s">
        <v>32</v>
      </c>
      <c r="E259" s="5">
        <v>28670.43</v>
      </c>
      <c r="F259" s="5">
        <v>7574</v>
      </c>
      <c r="G259" s="5">
        <v>0.114</v>
      </c>
      <c r="H259" s="5">
        <v>19</v>
      </c>
      <c r="I259" s="5">
        <v>82.7</v>
      </c>
      <c r="J259" s="5">
        <v>2.74</v>
      </c>
      <c r="K259" s="5">
        <v>0</v>
      </c>
      <c r="L259" s="5">
        <v>4.5999999999999996</v>
      </c>
      <c r="M259" s="5">
        <v>697888.09</v>
      </c>
      <c r="N259" s="5">
        <v>116249.87</v>
      </c>
      <c r="O259">
        <f t="shared" ref="O259:O321" si="12">IF(C259="East",1,0)</f>
        <v>0</v>
      </c>
      <c r="P259">
        <f t="shared" ref="P259:P321" si="13">IF(C259="North",1,0)</f>
        <v>0</v>
      </c>
      <c r="Q259">
        <f t="shared" ref="Q259:Q321" si="14">IF(C259="west",1,0)</f>
        <v>0</v>
      </c>
    </row>
    <row r="260" spans="1:17" x14ac:dyDescent="0.3">
      <c r="A260" s="5" t="s">
        <v>90</v>
      </c>
      <c r="B260" s="6">
        <v>45717</v>
      </c>
      <c r="C260" s="5" t="s">
        <v>28</v>
      </c>
      <c r="D260" s="5" t="s">
        <v>32</v>
      </c>
      <c r="E260" s="5">
        <v>44189.34</v>
      </c>
      <c r="F260" s="5">
        <v>8634</v>
      </c>
      <c r="G260" s="5">
        <v>0.14299999999999999</v>
      </c>
      <c r="H260" s="5">
        <v>19</v>
      </c>
      <c r="I260" s="5">
        <v>87.5</v>
      </c>
      <c r="J260" s="5">
        <v>3.69</v>
      </c>
      <c r="K260" s="5">
        <v>0</v>
      </c>
      <c r="L260" s="5">
        <v>4.4000000000000004</v>
      </c>
      <c r="M260" s="5">
        <v>746115.59</v>
      </c>
      <c r="N260" s="5">
        <v>94662.96</v>
      </c>
      <c r="O260">
        <f t="shared" si="12"/>
        <v>0</v>
      </c>
      <c r="P260">
        <f t="shared" si="13"/>
        <v>0</v>
      </c>
      <c r="Q260">
        <f t="shared" si="14"/>
        <v>0</v>
      </c>
    </row>
    <row r="261" spans="1:17" x14ac:dyDescent="0.3">
      <c r="A261" s="5" t="s">
        <v>90</v>
      </c>
      <c r="B261" s="6">
        <v>45748</v>
      </c>
      <c r="C261" s="5" t="s">
        <v>28</v>
      </c>
      <c r="D261" s="5" t="s">
        <v>32</v>
      </c>
      <c r="E261" s="5">
        <v>38397.82</v>
      </c>
      <c r="F261" s="5">
        <v>7836</v>
      </c>
      <c r="G261" s="5">
        <v>7.0000000000000001E-3</v>
      </c>
      <c r="H261" s="5">
        <v>21</v>
      </c>
      <c r="I261" s="5">
        <v>92.2</v>
      </c>
      <c r="J261" s="5">
        <v>1.82</v>
      </c>
      <c r="K261" s="5">
        <v>0</v>
      </c>
      <c r="L261" s="5">
        <v>3.6</v>
      </c>
      <c r="M261" s="5">
        <v>776110.32</v>
      </c>
      <c r="N261" s="5">
        <v>139676.21</v>
      </c>
      <c r="O261">
        <f t="shared" si="12"/>
        <v>0</v>
      </c>
      <c r="P261">
        <f t="shared" si="13"/>
        <v>0</v>
      </c>
      <c r="Q261">
        <f t="shared" si="14"/>
        <v>0</v>
      </c>
    </row>
    <row r="262" spans="1:17" x14ac:dyDescent="0.3">
      <c r="A262" s="5" t="s">
        <v>91</v>
      </c>
      <c r="B262" s="6">
        <v>45658</v>
      </c>
      <c r="C262" s="5" t="s">
        <v>31</v>
      </c>
      <c r="D262" s="5" t="s">
        <v>22</v>
      </c>
      <c r="E262" s="5">
        <v>14519.37</v>
      </c>
      <c r="F262" s="5">
        <v>3047</v>
      </c>
      <c r="G262" s="5">
        <v>0.13500000000000001</v>
      </c>
      <c r="H262" s="5">
        <v>10</v>
      </c>
      <c r="I262" s="5">
        <v>90.3</v>
      </c>
      <c r="J262" s="5">
        <v>6.62</v>
      </c>
      <c r="K262" s="5">
        <v>0</v>
      </c>
      <c r="L262" s="5">
        <v>4.2</v>
      </c>
      <c r="M262" s="5">
        <v>528852.62</v>
      </c>
      <c r="N262" s="5">
        <v>68426.210000000006</v>
      </c>
      <c r="O262">
        <f t="shared" si="12"/>
        <v>0</v>
      </c>
      <c r="P262">
        <f t="shared" si="13"/>
        <v>0</v>
      </c>
      <c r="Q262">
        <f t="shared" si="14"/>
        <v>1</v>
      </c>
    </row>
    <row r="263" spans="1:17" x14ac:dyDescent="0.3">
      <c r="A263" s="5" t="s">
        <v>91</v>
      </c>
      <c r="B263" s="6">
        <v>45689</v>
      </c>
      <c r="C263" s="5" t="s">
        <v>31</v>
      </c>
      <c r="D263" s="5" t="s">
        <v>22</v>
      </c>
      <c r="E263" s="5">
        <v>43288.2</v>
      </c>
      <c r="F263" s="5">
        <v>4783</v>
      </c>
      <c r="G263" s="5">
        <v>0.16900000000000001</v>
      </c>
      <c r="H263" s="5">
        <v>13</v>
      </c>
      <c r="I263" s="5">
        <v>87.3</v>
      </c>
      <c r="J263" s="5">
        <v>4.5590450000000002</v>
      </c>
      <c r="K263" s="5">
        <v>0</v>
      </c>
      <c r="L263" s="5">
        <v>4.2</v>
      </c>
      <c r="M263" s="5">
        <v>605751.32999999996</v>
      </c>
      <c r="N263" s="5">
        <v>60685.53</v>
      </c>
      <c r="O263">
        <f t="shared" si="12"/>
        <v>0</v>
      </c>
      <c r="P263">
        <f t="shared" si="13"/>
        <v>0</v>
      </c>
      <c r="Q263">
        <f t="shared" si="14"/>
        <v>1</v>
      </c>
    </row>
    <row r="264" spans="1:17" x14ac:dyDescent="0.3">
      <c r="A264" s="5" t="s">
        <v>91</v>
      </c>
      <c r="B264" s="6">
        <v>45717</v>
      </c>
      <c r="C264" s="5" t="s">
        <v>31</v>
      </c>
      <c r="D264" s="5" t="s">
        <v>22</v>
      </c>
      <c r="E264" s="5">
        <v>51450.55</v>
      </c>
      <c r="F264" s="5">
        <v>4902</v>
      </c>
      <c r="G264" s="5">
        <v>8.5999999999999993E-2</v>
      </c>
      <c r="H264" s="5">
        <v>11</v>
      </c>
      <c r="I264" s="5">
        <v>83.7</v>
      </c>
      <c r="J264" s="5">
        <v>6.92</v>
      </c>
      <c r="K264" s="5">
        <v>1</v>
      </c>
      <c r="L264" s="5">
        <v>4.2</v>
      </c>
      <c r="M264" s="5">
        <v>677640.65</v>
      </c>
      <c r="N264" s="5">
        <v>111610.89</v>
      </c>
      <c r="O264">
        <f t="shared" si="12"/>
        <v>0</v>
      </c>
      <c r="P264">
        <f t="shared" si="13"/>
        <v>0</v>
      </c>
      <c r="Q264">
        <f t="shared" si="14"/>
        <v>1</v>
      </c>
    </row>
    <row r="265" spans="1:17" x14ac:dyDescent="0.3">
      <c r="A265" s="5" t="s">
        <v>91</v>
      </c>
      <c r="B265" s="6">
        <v>45748</v>
      </c>
      <c r="C265" s="5" t="s">
        <v>31</v>
      </c>
      <c r="D265" s="5" t="s">
        <v>22</v>
      </c>
      <c r="E265" s="5">
        <v>58688.26</v>
      </c>
      <c r="F265" s="5">
        <v>4022</v>
      </c>
      <c r="G265" s="5">
        <v>0.217</v>
      </c>
      <c r="H265" s="5">
        <v>12</v>
      </c>
      <c r="I265" s="5">
        <v>93.8</v>
      </c>
      <c r="J265" s="5">
        <v>11.78</v>
      </c>
      <c r="K265" s="5">
        <v>0</v>
      </c>
      <c r="L265" s="5">
        <v>3.7</v>
      </c>
      <c r="M265" s="5">
        <v>636613.23</v>
      </c>
      <c r="N265" s="5">
        <v>78908.350000000006</v>
      </c>
      <c r="O265">
        <f t="shared" si="12"/>
        <v>0</v>
      </c>
      <c r="P265">
        <f t="shared" si="13"/>
        <v>0</v>
      </c>
      <c r="Q265">
        <f t="shared" si="14"/>
        <v>1</v>
      </c>
    </row>
    <row r="266" spans="1:17" x14ac:dyDescent="0.3">
      <c r="A266" s="5" t="s">
        <v>92</v>
      </c>
      <c r="B266" s="6">
        <v>45658</v>
      </c>
      <c r="C266" s="5" t="s">
        <v>16</v>
      </c>
      <c r="D266" s="5" t="s">
        <v>22</v>
      </c>
      <c r="E266" s="5">
        <v>58981.91</v>
      </c>
      <c r="F266" s="5">
        <v>7324</v>
      </c>
      <c r="G266" s="5">
        <v>9.4E-2</v>
      </c>
      <c r="H266" s="5">
        <v>15</v>
      </c>
      <c r="I266" s="5">
        <v>95.8</v>
      </c>
      <c r="J266" s="5">
        <v>0.5</v>
      </c>
      <c r="K266" s="5">
        <v>0</v>
      </c>
      <c r="L266" s="5">
        <v>3.5</v>
      </c>
      <c r="M266" s="5">
        <v>708985.19</v>
      </c>
      <c r="N266" s="5">
        <v>125368.16</v>
      </c>
      <c r="O266">
        <f t="shared" si="12"/>
        <v>1</v>
      </c>
      <c r="P266">
        <f t="shared" si="13"/>
        <v>0</v>
      </c>
      <c r="Q266">
        <f t="shared" si="14"/>
        <v>0</v>
      </c>
    </row>
    <row r="267" spans="1:17" x14ac:dyDescent="0.3">
      <c r="A267" s="5" t="s">
        <v>92</v>
      </c>
      <c r="B267" s="6">
        <v>45689</v>
      </c>
      <c r="C267" s="5" t="s">
        <v>16</v>
      </c>
      <c r="D267" s="5" t="s">
        <v>22</v>
      </c>
      <c r="E267" s="5">
        <v>73454.539999999994</v>
      </c>
      <c r="F267" s="5">
        <v>8129</v>
      </c>
      <c r="G267" s="5">
        <v>0.21099999999999999</v>
      </c>
      <c r="H267" s="5">
        <v>20</v>
      </c>
      <c r="I267" s="5">
        <v>85.2</v>
      </c>
      <c r="J267" s="5">
        <v>0.88</v>
      </c>
      <c r="K267" s="5">
        <v>0</v>
      </c>
      <c r="L267" s="5">
        <v>3.7</v>
      </c>
      <c r="M267" s="5">
        <v>767792.94</v>
      </c>
      <c r="N267" s="5">
        <v>96235.77</v>
      </c>
      <c r="O267">
        <f t="shared" si="12"/>
        <v>1</v>
      </c>
      <c r="P267">
        <f t="shared" si="13"/>
        <v>0</v>
      </c>
      <c r="Q267">
        <f t="shared" si="14"/>
        <v>0</v>
      </c>
    </row>
    <row r="268" spans="1:17" x14ac:dyDescent="0.3">
      <c r="A268" s="5" t="s">
        <v>92</v>
      </c>
      <c r="B268" s="6">
        <v>45717</v>
      </c>
      <c r="C268" s="5" t="s">
        <v>16</v>
      </c>
      <c r="D268" s="5" t="s">
        <v>22</v>
      </c>
      <c r="E268" s="5">
        <v>56602.39</v>
      </c>
      <c r="F268" s="5">
        <v>7969</v>
      </c>
      <c r="G268" s="5">
        <v>0.17</v>
      </c>
      <c r="H268" s="5">
        <v>21</v>
      </c>
      <c r="I268" s="5">
        <v>88.3</v>
      </c>
      <c r="J268" s="5">
        <v>2.25</v>
      </c>
      <c r="K268" s="5">
        <v>0</v>
      </c>
      <c r="L268" s="5">
        <v>3.7</v>
      </c>
      <c r="M268" s="5">
        <v>745580.51</v>
      </c>
      <c r="N268" s="5">
        <v>116273.68</v>
      </c>
      <c r="O268">
        <f t="shared" si="12"/>
        <v>1</v>
      </c>
      <c r="P268">
        <f t="shared" si="13"/>
        <v>0</v>
      </c>
      <c r="Q268">
        <f t="shared" si="14"/>
        <v>0</v>
      </c>
    </row>
    <row r="269" spans="1:17" x14ac:dyDescent="0.3">
      <c r="A269" s="5" t="s">
        <v>92</v>
      </c>
      <c r="B269" s="6">
        <v>45748</v>
      </c>
      <c r="C269" s="5" t="s">
        <v>16</v>
      </c>
      <c r="D269" s="5" t="s">
        <v>22</v>
      </c>
      <c r="E269" s="5">
        <v>67722.289999999994</v>
      </c>
      <c r="F269" s="5">
        <v>7240</v>
      </c>
      <c r="G269" s="5">
        <v>2.5999999999999999E-2</v>
      </c>
      <c r="H269" s="5">
        <v>15</v>
      </c>
      <c r="I269" s="5">
        <v>92.9</v>
      </c>
      <c r="J269" s="5">
        <v>0.28999999999999998</v>
      </c>
      <c r="K269" s="5">
        <v>0</v>
      </c>
      <c r="L269" s="5">
        <v>3.5</v>
      </c>
      <c r="M269" s="5">
        <v>762328.31</v>
      </c>
      <c r="N269" s="5">
        <v>159158.19</v>
      </c>
      <c r="O269">
        <f t="shared" si="12"/>
        <v>1</v>
      </c>
      <c r="P269">
        <f t="shared" si="13"/>
        <v>0</v>
      </c>
      <c r="Q269">
        <f t="shared" si="14"/>
        <v>0</v>
      </c>
    </row>
    <row r="270" spans="1:17" x14ac:dyDescent="0.3">
      <c r="A270" s="5" t="s">
        <v>93</v>
      </c>
      <c r="B270" s="6">
        <v>45658</v>
      </c>
      <c r="C270" s="5" t="s">
        <v>16</v>
      </c>
      <c r="D270" s="5" t="s">
        <v>32</v>
      </c>
      <c r="E270" s="5">
        <v>48752.92</v>
      </c>
      <c r="F270" s="5">
        <v>8052</v>
      </c>
      <c r="G270" s="5">
        <v>0.106</v>
      </c>
      <c r="H270" s="5">
        <v>16</v>
      </c>
      <c r="I270" s="5">
        <v>94.9</v>
      </c>
      <c r="J270" s="5">
        <v>0.65</v>
      </c>
      <c r="K270" s="5">
        <v>0</v>
      </c>
      <c r="L270" s="5">
        <v>3.6</v>
      </c>
      <c r="M270" s="5">
        <v>660633.99</v>
      </c>
      <c r="N270" s="5">
        <v>118768.66</v>
      </c>
      <c r="O270">
        <f t="shared" si="12"/>
        <v>1</v>
      </c>
      <c r="P270">
        <f t="shared" si="13"/>
        <v>0</v>
      </c>
      <c r="Q270">
        <f t="shared" si="14"/>
        <v>0</v>
      </c>
    </row>
    <row r="271" spans="1:17" x14ac:dyDescent="0.3">
      <c r="A271" s="5" t="s">
        <v>93</v>
      </c>
      <c r="B271" s="6">
        <v>45689</v>
      </c>
      <c r="C271" s="5" t="s">
        <v>16</v>
      </c>
      <c r="D271" s="5" t="s">
        <v>32</v>
      </c>
      <c r="E271" s="5">
        <v>23914.97</v>
      </c>
      <c r="F271" s="5">
        <v>8018</v>
      </c>
      <c r="G271" s="5">
        <v>0.13900000000000001</v>
      </c>
      <c r="H271" s="5">
        <v>20</v>
      </c>
      <c r="I271" s="5">
        <v>89</v>
      </c>
      <c r="J271" s="5">
        <v>0.2</v>
      </c>
      <c r="K271" s="5">
        <v>0</v>
      </c>
      <c r="L271" s="5">
        <v>3.5</v>
      </c>
      <c r="M271" s="5">
        <v>739374.56</v>
      </c>
      <c r="N271" s="5">
        <v>121032.29</v>
      </c>
      <c r="O271">
        <f t="shared" si="12"/>
        <v>1</v>
      </c>
      <c r="P271">
        <f t="shared" si="13"/>
        <v>0</v>
      </c>
      <c r="Q271">
        <f t="shared" si="14"/>
        <v>0</v>
      </c>
    </row>
    <row r="272" spans="1:17" x14ac:dyDescent="0.3">
      <c r="A272" s="5" t="s">
        <v>93</v>
      </c>
      <c r="B272" s="6">
        <v>45717</v>
      </c>
      <c r="C272" s="5" t="s">
        <v>16</v>
      </c>
      <c r="D272" s="5" t="s">
        <v>32</v>
      </c>
      <c r="E272" s="5">
        <v>61995.3</v>
      </c>
      <c r="F272" s="5">
        <v>10192</v>
      </c>
      <c r="G272" s="5">
        <v>0.19800000000000001</v>
      </c>
      <c r="H272" s="5">
        <v>21</v>
      </c>
      <c r="I272" s="5">
        <v>87.6</v>
      </c>
      <c r="J272" s="5">
        <v>3.63</v>
      </c>
      <c r="K272" s="5">
        <v>1</v>
      </c>
      <c r="L272" s="5">
        <v>3.8</v>
      </c>
      <c r="M272" s="5">
        <v>799756.46</v>
      </c>
      <c r="N272" s="5">
        <v>105052.93</v>
      </c>
      <c r="O272">
        <f t="shared" si="12"/>
        <v>1</v>
      </c>
      <c r="P272">
        <f t="shared" si="13"/>
        <v>0</v>
      </c>
      <c r="Q272">
        <f t="shared" si="14"/>
        <v>0</v>
      </c>
    </row>
    <row r="273" spans="1:17" x14ac:dyDescent="0.3">
      <c r="A273" s="5" t="s">
        <v>93</v>
      </c>
      <c r="B273" s="6">
        <v>45748</v>
      </c>
      <c r="C273" s="5" t="s">
        <v>16</v>
      </c>
      <c r="D273" s="5" t="s">
        <v>32</v>
      </c>
      <c r="E273" s="5">
        <v>29344.93</v>
      </c>
      <c r="F273" s="5">
        <v>7446</v>
      </c>
      <c r="G273" s="5">
        <v>0.111</v>
      </c>
      <c r="H273" s="5">
        <v>15</v>
      </c>
      <c r="I273" s="5">
        <v>86.2</v>
      </c>
      <c r="J273" s="5">
        <v>0.2</v>
      </c>
      <c r="K273" s="5">
        <v>0</v>
      </c>
      <c r="L273" s="5">
        <v>3.2</v>
      </c>
      <c r="M273" s="5">
        <v>593343</v>
      </c>
      <c r="N273" s="5">
        <v>82832.240000000005</v>
      </c>
      <c r="O273">
        <f t="shared" si="12"/>
        <v>1</v>
      </c>
      <c r="P273">
        <f t="shared" si="13"/>
        <v>0</v>
      </c>
      <c r="Q273">
        <f t="shared" si="14"/>
        <v>0</v>
      </c>
    </row>
    <row r="274" spans="1:17" x14ac:dyDescent="0.3">
      <c r="A274" s="5" t="s">
        <v>94</v>
      </c>
      <c r="B274" s="6">
        <v>45658</v>
      </c>
      <c r="C274" s="5" t="s">
        <v>31</v>
      </c>
      <c r="D274" s="5" t="s">
        <v>22</v>
      </c>
      <c r="E274" s="5">
        <v>50532.17</v>
      </c>
      <c r="F274" s="5">
        <v>5689</v>
      </c>
      <c r="G274" s="5">
        <v>5.1999999999999998E-2</v>
      </c>
      <c r="H274" s="5">
        <v>17</v>
      </c>
      <c r="I274" s="5">
        <v>85.6</v>
      </c>
      <c r="J274" s="5">
        <v>6.23</v>
      </c>
      <c r="K274" s="5">
        <v>0</v>
      </c>
      <c r="L274" s="5">
        <v>3.3</v>
      </c>
      <c r="M274" s="5">
        <v>645039.97</v>
      </c>
      <c r="N274" s="5">
        <v>83093.33</v>
      </c>
      <c r="O274">
        <f t="shared" si="12"/>
        <v>0</v>
      </c>
      <c r="P274">
        <f t="shared" si="13"/>
        <v>0</v>
      </c>
      <c r="Q274">
        <f t="shared" si="14"/>
        <v>1</v>
      </c>
    </row>
    <row r="275" spans="1:17" x14ac:dyDescent="0.3">
      <c r="A275" s="5" t="s">
        <v>94</v>
      </c>
      <c r="B275" s="6">
        <v>45689</v>
      </c>
      <c r="C275" s="5" t="s">
        <v>31</v>
      </c>
      <c r="D275" s="5" t="s">
        <v>22</v>
      </c>
      <c r="E275" s="5">
        <v>17562.57</v>
      </c>
      <c r="F275" s="5">
        <v>3326</v>
      </c>
      <c r="G275" s="5">
        <v>0.153</v>
      </c>
      <c r="H275" s="5">
        <v>14</v>
      </c>
      <c r="I275" s="5">
        <v>88.1</v>
      </c>
      <c r="J275" s="5">
        <v>1.04</v>
      </c>
      <c r="K275" s="5">
        <v>0</v>
      </c>
      <c r="L275" s="5">
        <v>3.1</v>
      </c>
      <c r="M275" s="5">
        <v>561597.32999999996</v>
      </c>
      <c r="N275" s="5">
        <v>75072.75</v>
      </c>
      <c r="O275">
        <f t="shared" si="12"/>
        <v>0</v>
      </c>
      <c r="P275">
        <f t="shared" si="13"/>
        <v>0</v>
      </c>
      <c r="Q275">
        <f t="shared" si="14"/>
        <v>1</v>
      </c>
    </row>
    <row r="276" spans="1:17" x14ac:dyDescent="0.3">
      <c r="A276" s="5" t="s">
        <v>94</v>
      </c>
      <c r="B276" s="6">
        <v>45717</v>
      </c>
      <c r="C276" s="5" t="s">
        <v>31</v>
      </c>
      <c r="D276" s="5" t="s">
        <v>22</v>
      </c>
      <c r="E276" s="5">
        <v>47648.71</v>
      </c>
      <c r="F276" s="5">
        <v>5767</v>
      </c>
      <c r="G276" s="5">
        <v>0.14099999999999999</v>
      </c>
      <c r="H276" s="5">
        <v>17</v>
      </c>
      <c r="I276" s="5">
        <v>89.8</v>
      </c>
      <c r="J276" s="5">
        <v>1.76</v>
      </c>
      <c r="K276" s="5">
        <v>0</v>
      </c>
      <c r="L276" s="5">
        <v>3.1</v>
      </c>
      <c r="M276" s="5">
        <v>635837.74</v>
      </c>
      <c r="N276" s="5">
        <v>114740.64</v>
      </c>
      <c r="O276">
        <f t="shared" si="12"/>
        <v>0</v>
      </c>
      <c r="P276">
        <f t="shared" si="13"/>
        <v>0</v>
      </c>
      <c r="Q276">
        <f t="shared" si="14"/>
        <v>1</v>
      </c>
    </row>
    <row r="277" spans="1:17" x14ac:dyDescent="0.3">
      <c r="A277" s="5" t="s">
        <v>94</v>
      </c>
      <c r="B277" s="6">
        <v>45748</v>
      </c>
      <c r="C277" s="5" t="s">
        <v>31</v>
      </c>
      <c r="D277" s="5" t="s">
        <v>22</v>
      </c>
      <c r="E277" s="5">
        <v>38297.58</v>
      </c>
      <c r="F277" s="5">
        <v>5893</v>
      </c>
      <c r="G277" s="5">
        <v>0.247</v>
      </c>
      <c r="H277" s="5">
        <v>18</v>
      </c>
      <c r="I277" s="5">
        <v>77.599999999999994</v>
      </c>
      <c r="J277" s="5">
        <v>2.86</v>
      </c>
      <c r="K277" s="5">
        <v>0</v>
      </c>
      <c r="L277" s="5">
        <v>3</v>
      </c>
      <c r="M277" s="5">
        <v>686737.87</v>
      </c>
      <c r="N277" s="5">
        <v>83839.67</v>
      </c>
      <c r="O277">
        <f t="shared" si="12"/>
        <v>0</v>
      </c>
      <c r="P277">
        <f t="shared" si="13"/>
        <v>0</v>
      </c>
      <c r="Q277">
        <f t="shared" si="14"/>
        <v>1</v>
      </c>
    </row>
    <row r="278" spans="1:17" x14ac:dyDescent="0.3">
      <c r="A278" s="5" t="s">
        <v>95</v>
      </c>
      <c r="B278" s="6">
        <v>45658</v>
      </c>
      <c r="C278" s="5" t="s">
        <v>28</v>
      </c>
      <c r="D278" s="5" t="s">
        <v>17</v>
      </c>
      <c r="E278" s="5">
        <v>61784.11</v>
      </c>
      <c r="F278" s="5">
        <v>8564</v>
      </c>
      <c r="G278" s="5">
        <v>0.13</v>
      </c>
      <c r="H278" s="5">
        <v>17</v>
      </c>
      <c r="I278" s="5">
        <v>87.4</v>
      </c>
      <c r="J278" s="5">
        <v>18.14</v>
      </c>
      <c r="K278" s="5">
        <v>1</v>
      </c>
      <c r="L278" s="5">
        <v>3.4</v>
      </c>
      <c r="M278" s="5">
        <v>673076.34</v>
      </c>
      <c r="N278" s="5">
        <v>93899.76</v>
      </c>
      <c r="O278">
        <f t="shared" si="12"/>
        <v>0</v>
      </c>
      <c r="P278">
        <f t="shared" si="13"/>
        <v>0</v>
      </c>
      <c r="Q278">
        <f t="shared" si="14"/>
        <v>0</v>
      </c>
    </row>
    <row r="279" spans="1:17" x14ac:dyDescent="0.3">
      <c r="A279" s="5" t="s">
        <v>95</v>
      </c>
      <c r="B279" s="6">
        <v>45689</v>
      </c>
      <c r="C279" s="5" t="s">
        <v>28</v>
      </c>
      <c r="D279" s="5" t="s">
        <v>17</v>
      </c>
      <c r="E279" s="5">
        <v>36832.33</v>
      </c>
      <c r="F279" s="5">
        <v>8001</v>
      </c>
      <c r="G279" s="5">
        <v>0</v>
      </c>
      <c r="H279" s="5">
        <v>19</v>
      </c>
      <c r="I279" s="5">
        <v>88.7</v>
      </c>
      <c r="J279" s="5">
        <v>3.39</v>
      </c>
      <c r="K279" s="5">
        <v>0</v>
      </c>
      <c r="L279" s="5">
        <v>4</v>
      </c>
      <c r="M279" s="5">
        <v>738548.42</v>
      </c>
      <c r="N279" s="5">
        <v>134282.76999999999</v>
      </c>
      <c r="O279">
        <f t="shared" si="12"/>
        <v>0</v>
      </c>
      <c r="P279">
        <f t="shared" si="13"/>
        <v>0</v>
      </c>
      <c r="Q279">
        <f t="shared" si="14"/>
        <v>0</v>
      </c>
    </row>
    <row r="280" spans="1:17" x14ac:dyDescent="0.3">
      <c r="A280" s="5" t="s">
        <v>95</v>
      </c>
      <c r="B280" s="6">
        <v>45717</v>
      </c>
      <c r="C280" s="5" t="s">
        <v>28</v>
      </c>
      <c r="D280" s="5" t="s">
        <v>17</v>
      </c>
      <c r="E280" s="5">
        <v>48609.41</v>
      </c>
      <c r="F280" s="5">
        <v>9324</v>
      </c>
      <c r="G280" s="5">
        <v>0.21299999999999999</v>
      </c>
      <c r="H280" s="5">
        <v>18</v>
      </c>
      <c r="I280" s="5">
        <v>86.5</v>
      </c>
      <c r="J280" s="5">
        <v>1.44</v>
      </c>
      <c r="K280" s="5">
        <v>0</v>
      </c>
      <c r="L280" s="5">
        <v>3.9</v>
      </c>
      <c r="M280" s="5">
        <v>756619.77</v>
      </c>
      <c r="N280" s="5">
        <v>112057.69</v>
      </c>
      <c r="O280">
        <f t="shared" si="12"/>
        <v>0</v>
      </c>
      <c r="P280">
        <f t="shared" si="13"/>
        <v>0</v>
      </c>
      <c r="Q280">
        <f t="shared" si="14"/>
        <v>0</v>
      </c>
    </row>
    <row r="281" spans="1:17" x14ac:dyDescent="0.3">
      <c r="A281" s="5" t="s">
        <v>95</v>
      </c>
      <c r="B281" s="6">
        <v>45748</v>
      </c>
      <c r="C281" s="5" t="s">
        <v>28</v>
      </c>
      <c r="D281" s="5" t="s">
        <v>17</v>
      </c>
      <c r="E281" s="5">
        <v>70284.06</v>
      </c>
      <c r="F281" s="5">
        <v>9109</v>
      </c>
      <c r="G281" s="5">
        <v>4.0000000000000001E-3</v>
      </c>
      <c r="H281" s="5">
        <v>23</v>
      </c>
      <c r="I281" s="5">
        <v>87</v>
      </c>
      <c r="J281" s="5">
        <v>3.65</v>
      </c>
      <c r="K281" s="5">
        <v>0</v>
      </c>
      <c r="L281" s="5">
        <v>3.7</v>
      </c>
      <c r="M281" s="5">
        <v>761122.42</v>
      </c>
      <c r="N281" s="5">
        <v>149802.04</v>
      </c>
      <c r="O281">
        <f t="shared" si="12"/>
        <v>0</v>
      </c>
      <c r="P281">
        <f t="shared" si="13"/>
        <v>0</v>
      </c>
      <c r="Q281">
        <f t="shared" si="14"/>
        <v>0</v>
      </c>
    </row>
    <row r="282" spans="1:17" x14ac:dyDescent="0.3">
      <c r="A282" s="5" t="s">
        <v>96</v>
      </c>
      <c r="B282" s="6">
        <v>45658</v>
      </c>
      <c r="C282" s="5" t="s">
        <v>28</v>
      </c>
      <c r="D282" s="5" t="s">
        <v>22</v>
      </c>
      <c r="E282" s="5">
        <v>45940.39</v>
      </c>
      <c r="F282" s="5">
        <v>4022</v>
      </c>
      <c r="G282" s="5">
        <v>6.9000000000000006E-2</v>
      </c>
      <c r="H282" s="5">
        <v>10</v>
      </c>
      <c r="I282" s="5">
        <v>83</v>
      </c>
      <c r="J282" s="5">
        <v>1.23</v>
      </c>
      <c r="K282" s="5">
        <v>1</v>
      </c>
      <c r="L282" s="5">
        <v>3.8</v>
      </c>
      <c r="M282" s="5">
        <v>524899.56999999995</v>
      </c>
      <c r="N282" s="5">
        <v>63619.98</v>
      </c>
      <c r="O282">
        <f t="shared" si="12"/>
        <v>0</v>
      </c>
      <c r="P282">
        <f t="shared" si="13"/>
        <v>0</v>
      </c>
      <c r="Q282">
        <f t="shared" si="14"/>
        <v>0</v>
      </c>
    </row>
    <row r="283" spans="1:17" x14ac:dyDescent="0.3">
      <c r="A283" s="5" t="s">
        <v>96</v>
      </c>
      <c r="B283" s="6">
        <v>45689</v>
      </c>
      <c r="C283" s="5" t="s">
        <v>28</v>
      </c>
      <c r="D283" s="5" t="s">
        <v>22</v>
      </c>
      <c r="E283" s="5">
        <v>34771.26</v>
      </c>
      <c r="F283" s="5">
        <v>4355</v>
      </c>
      <c r="G283" s="5">
        <v>5.0999999999999997E-2</v>
      </c>
      <c r="H283" s="5">
        <v>15</v>
      </c>
      <c r="I283" s="5">
        <v>87.9</v>
      </c>
      <c r="J283" s="5">
        <v>3.09</v>
      </c>
      <c r="K283" s="5">
        <v>0</v>
      </c>
      <c r="L283" s="5">
        <v>4</v>
      </c>
      <c r="M283" s="5">
        <v>555557.77</v>
      </c>
      <c r="N283" s="5">
        <v>86475.51</v>
      </c>
      <c r="O283">
        <f t="shared" si="12"/>
        <v>0</v>
      </c>
      <c r="P283">
        <f t="shared" si="13"/>
        <v>0</v>
      </c>
      <c r="Q283">
        <f t="shared" si="14"/>
        <v>0</v>
      </c>
    </row>
    <row r="284" spans="1:17" x14ac:dyDescent="0.3">
      <c r="A284" s="5" t="s">
        <v>96</v>
      </c>
      <c r="B284" s="6">
        <v>45717</v>
      </c>
      <c r="C284" s="5" t="s">
        <v>28</v>
      </c>
      <c r="D284" s="5" t="s">
        <v>22</v>
      </c>
      <c r="E284" s="5">
        <v>66104.19</v>
      </c>
      <c r="F284" s="5">
        <v>5745</v>
      </c>
      <c r="G284" s="5">
        <v>7.0000000000000007E-2</v>
      </c>
      <c r="H284" s="5">
        <v>17</v>
      </c>
      <c r="I284" s="5">
        <v>95.8</v>
      </c>
      <c r="J284" s="5">
        <v>3.15</v>
      </c>
      <c r="K284" s="5">
        <v>0</v>
      </c>
      <c r="L284" s="5">
        <v>4</v>
      </c>
      <c r="M284" s="5">
        <v>714083.68</v>
      </c>
      <c r="N284" s="5">
        <v>127231.74</v>
      </c>
      <c r="O284">
        <f t="shared" si="12"/>
        <v>0</v>
      </c>
      <c r="P284">
        <f t="shared" si="13"/>
        <v>0</v>
      </c>
      <c r="Q284">
        <f t="shared" si="14"/>
        <v>0</v>
      </c>
    </row>
    <row r="285" spans="1:17" x14ac:dyDescent="0.3">
      <c r="A285" s="5" t="s">
        <v>96</v>
      </c>
      <c r="B285" s="6">
        <v>45748</v>
      </c>
      <c r="C285" s="5" t="s">
        <v>28</v>
      </c>
      <c r="D285" s="5" t="s">
        <v>22</v>
      </c>
      <c r="E285" s="5">
        <v>18599.21</v>
      </c>
      <c r="F285" s="5">
        <v>3027</v>
      </c>
      <c r="G285" s="5">
        <v>0.122</v>
      </c>
      <c r="H285" s="5">
        <v>11</v>
      </c>
      <c r="I285" s="5">
        <v>80.900000000000006</v>
      </c>
      <c r="J285" s="5">
        <v>6.44</v>
      </c>
      <c r="K285" s="5">
        <v>0</v>
      </c>
      <c r="L285" s="5">
        <v>4.2</v>
      </c>
      <c r="M285" s="5">
        <v>497439.82</v>
      </c>
      <c r="N285" s="5">
        <v>93372.75</v>
      </c>
      <c r="O285">
        <f t="shared" si="12"/>
        <v>0</v>
      </c>
      <c r="P285">
        <f t="shared" si="13"/>
        <v>0</v>
      </c>
      <c r="Q285">
        <f t="shared" si="14"/>
        <v>0</v>
      </c>
    </row>
    <row r="286" spans="1:17" x14ac:dyDescent="0.3">
      <c r="A286" s="5" t="s">
        <v>97</v>
      </c>
      <c r="B286" s="6">
        <v>45658</v>
      </c>
      <c r="C286" s="5" t="s">
        <v>31</v>
      </c>
      <c r="D286" s="5" t="s">
        <v>17</v>
      </c>
      <c r="E286" s="5">
        <v>60183.06</v>
      </c>
      <c r="F286" s="5">
        <v>5562</v>
      </c>
      <c r="G286" s="5">
        <v>8.9999999999999993E-3</v>
      </c>
      <c r="H286" s="5">
        <v>13</v>
      </c>
      <c r="I286" s="5">
        <v>86.3</v>
      </c>
      <c r="J286" s="5">
        <v>0.2</v>
      </c>
      <c r="K286" s="5">
        <v>1</v>
      </c>
      <c r="L286" s="5">
        <v>4.5</v>
      </c>
      <c r="M286" s="5">
        <v>636775.66</v>
      </c>
      <c r="N286" s="5">
        <v>122636.86</v>
      </c>
      <c r="O286">
        <f t="shared" si="12"/>
        <v>0</v>
      </c>
      <c r="P286">
        <f t="shared" si="13"/>
        <v>0</v>
      </c>
      <c r="Q286">
        <f t="shared" si="14"/>
        <v>1</v>
      </c>
    </row>
    <row r="287" spans="1:17" x14ac:dyDescent="0.3">
      <c r="A287" s="5" t="s">
        <v>97</v>
      </c>
      <c r="B287" s="6">
        <v>45689</v>
      </c>
      <c r="C287" s="5" t="s">
        <v>31</v>
      </c>
      <c r="D287" s="5" t="s">
        <v>17</v>
      </c>
      <c r="E287" s="5">
        <v>74539.14</v>
      </c>
      <c r="F287" s="5">
        <v>4487</v>
      </c>
      <c r="G287" s="5">
        <v>0.14000000000000001</v>
      </c>
      <c r="H287" s="5">
        <v>10</v>
      </c>
      <c r="I287" s="5">
        <v>90.4</v>
      </c>
      <c r="J287" s="5">
        <v>0.59</v>
      </c>
      <c r="K287" s="5">
        <v>0</v>
      </c>
      <c r="L287" s="5">
        <v>4.5</v>
      </c>
      <c r="M287" s="5">
        <v>633009.53</v>
      </c>
      <c r="N287" s="5">
        <v>123782.67</v>
      </c>
      <c r="O287">
        <f t="shared" si="12"/>
        <v>0</v>
      </c>
      <c r="P287">
        <f t="shared" si="13"/>
        <v>0</v>
      </c>
      <c r="Q287">
        <f t="shared" si="14"/>
        <v>1</v>
      </c>
    </row>
    <row r="288" spans="1:17" x14ac:dyDescent="0.3">
      <c r="A288" s="5" t="s">
        <v>97</v>
      </c>
      <c r="B288" s="6">
        <v>45717</v>
      </c>
      <c r="C288" s="5" t="s">
        <v>31</v>
      </c>
      <c r="D288" s="5" t="s">
        <v>17</v>
      </c>
      <c r="E288" s="5">
        <v>55371.97</v>
      </c>
      <c r="F288" s="5">
        <v>4162</v>
      </c>
      <c r="G288" s="5">
        <v>0.183</v>
      </c>
      <c r="H288" s="5">
        <v>11</v>
      </c>
      <c r="I288" s="5">
        <v>92</v>
      </c>
      <c r="J288" s="5">
        <v>0.2</v>
      </c>
      <c r="K288" s="5">
        <v>1</v>
      </c>
      <c r="L288" s="5">
        <v>4.2</v>
      </c>
      <c r="M288" s="5">
        <v>609949</v>
      </c>
      <c r="N288" s="5">
        <v>126789.25</v>
      </c>
      <c r="O288">
        <f t="shared" si="12"/>
        <v>0</v>
      </c>
      <c r="P288">
        <f t="shared" si="13"/>
        <v>0</v>
      </c>
      <c r="Q288">
        <f t="shared" si="14"/>
        <v>1</v>
      </c>
    </row>
    <row r="289" spans="1:17" x14ac:dyDescent="0.3">
      <c r="A289" s="5" t="s">
        <v>97</v>
      </c>
      <c r="B289" s="6">
        <v>45748</v>
      </c>
      <c r="C289" s="5" t="s">
        <v>31</v>
      </c>
      <c r="D289" s="5" t="s">
        <v>17</v>
      </c>
      <c r="E289" s="5">
        <v>40928.69</v>
      </c>
      <c r="F289" s="5">
        <v>4094</v>
      </c>
      <c r="G289" s="5">
        <v>0.17399999999999999</v>
      </c>
      <c r="H289" s="5">
        <v>13</v>
      </c>
      <c r="I289" s="5">
        <v>82.4</v>
      </c>
      <c r="J289" s="5">
        <v>1.36</v>
      </c>
      <c r="K289" s="5">
        <v>0</v>
      </c>
      <c r="L289" s="5">
        <v>4.8</v>
      </c>
      <c r="M289" s="5">
        <v>548103.69999999995</v>
      </c>
      <c r="N289" s="5">
        <v>99905.52</v>
      </c>
      <c r="O289">
        <f t="shared" si="12"/>
        <v>0</v>
      </c>
      <c r="P289">
        <f t="shared" si="13"/>
        <v>0</v>
      </c>
      <c r="Q289">
        <f t="shared" si="14"/>
        <v>1</v>
      </c>
    </row>
    <row r="290" spans="1:17" x14ac:dyDescent="0.3">
      <c r="A290" s="5" t="s">
        <v>98</v>
      </c>
      <c r="B290" s="6">
        <v>45658</v>
      </c>
      <c r="C290" s="5" t="s">
        <v>16</v>
      </c>
      <c r="D290" s="5" t="s">
        <v>17</v>
      </c>
      <c r="E290" s="5">
        <v>70012.41</v>
      </c>
      <c r="F290" s="5">
        <v>8484</v>
      </c>
      <c r="G290" s="5">
        <v>0.27300000000000002</v>
      </c>
      <c r="H290" s="5">
        <v>23</v>
      </c>
      <c r="I290" s="5">
        <v>72.900000000000006</v>
      </c>
      <c r="J290" s="5">
        <v>3.34</v>
      </c>
      <c r="K290" s="5">
        <v>0</v>
      </c>
      <c r="L290" s="5">
        <v>3.7</v>
      </c>
      <c r="M290" s="5">
        <v>729424.42</v>
      </c>
      <c r="N290" s="5">
        <v>75592.28</v>
      </c>
      <c r="O290">
        <f t="shared" si="12"/>
        <v>1</v>
      </c>
      <c r="P290">
        <f t="shared" si="13"/>
        <v>0</v>
      </c>
      <c r="Q290">
        <f t="shared" si="14"/>
        <v>0</v>
      </c>
    </row>
    <row r="291" spans="1:17" x14ac:dyDescent="0.3">
      <c r="A291" s="5" t="s">
        <v>98</v>
      </c>
      <c r="B291" s="6">
        <v>45689</v>
      </c>
      <c r="C291" s="5" t="s">
        <v>16</v>
      </c>
      <c r="D291" s="5" t="s">
        <v>17</v>
      </c>
      <c r="E291" s="5">
        <v>68909.259999999995</v>
      </c>
      <c r="F291" s="5">
        <v>7794</v>
      </c>
      <c r="G291" s="5">
        <v>0.28399999999999997</v>
      </c>
      <c r="H291" s="5">
        <v>22</v>
      </c>
      <c r="I291" s="5">
        <v>89</v>
      </c>
      <c r="J291" s="5">
        <v>0.33</v>
      </c>
      <c r="K291" s="5">
        <v>0</v>
      </c>
      <c r="L291" s="5">
        <v>4</v>
      </c>
      <c r="M291" s="5">
        <v>696261.49</v>
      </c>
      <c r="N291" s="5">
        <v>72455.350000000006</v>
      </c>
      <c r="O291">
        <f t="shared" si="12"/>
        <v>1</v>
      </c>
      <c r="P291">
        <f t="shared" si="13"/>
        <v>0</v>
      </c>
      <c r="Q291">
        <f t="shared" si="14"/>
        <v>0</v>
      </c>
    </row>
    <row r="292" spans="1:17" x14ac:dyDescent="0.3">
      <c r="A292" s="5" t="s">
        <v>98</v>
      </c>
      <c r="B292" s="6">
        <v>45717</v>
      </c>
      <c r="C292" s="5" t="s">
        <v>16</v>
      </c>
      <c r="D292" s="5" t="s">
        <v>17</v>
      </c>
      <c r="E292" s="5">
        <v>56737.3</v>
      </c>
      <c r="F292" s="5">
        <v>8300</v>
      </c>
      <c r="G292" s="5">
        <v>3.2000000000000001E-2</v>
      </c>
      <c r="H292" s="5">
        <v>21</v>
      </c>
      <c r="I292" s="5">
        <v>83.2</v>
      </c>
      <c r="J292" s="5">
        <v>3.44</v>
      </c>
      <c r="K292" s="5">
        <v>1</v>
      </c>
      <c r="L292" s="5">
        <v>4.3</v>
      </c>
      <c r="M292" s="5">
        <v>813316.71</v>
      </c>
      <c r="N292" s="5">
        <v>110077.42</v>
      </c>
      <c r="O292">
        <f t="shared" si="12"/>
        <v>1</v>
      </c>
      <c r="P292">
        <f t="shared" si="13"/>
        <v>0</v>
      </c>
      <c r="Q292">
        <f t="shared" si="14"/>
        <v>0</v>
      </c>
    </row>
    <row r="293" spans="1:17" x14ac:dyDescent="0.3">
      <c r="A293" s="5" t="s">
        <v>98</v>
      </c>
      <c r="B293" s="6">
        <v>45748</v>
      </c>
      <c r="C293" s="5" t="s">
        <v>16</v>
      </c>
      <c r="D293" s="5" t="s">
        <v>17</v>
      </c>
      <c r="E293" s="5">
        <v>54080.91</v>
      </c>
      <c r="F293" s="5">
        <v>7083</v>
      </c>
      <c r="G293" s="5">
        <v>0</v>
      </c>
      <c r="H293" s="5">
        <v>15</v>
      </c>
      <c r="I293" s="5">
        <v>97</v>
      </c>
      <c r="J293" s="5">
        <v>5.33</v>
      </c>
      <c r="K293" s="5">
        <v>0</v>
      </c>
      <c r="L293" s="5">
        <v>4.0999999999999996</v>
      </c>
      <c r="M293" s="5">
        <v>702068.92</v>
      </c>
      <c r="N293" s="5">
        <v>111266.63</v>
      </c>
      <c r="O293">
        <f t="shared" si="12"/>
        <v>1</v>
      </c>
      <c r="P293">
        <f t="shared" si="13"/>
        <v>0</v>
      </c>
      <c r="Q293">
        <f t="shared" si="14"/>
        <v>0</v>
      </c>
    </row>
    <row r="294" spans="1:17" x14ac:dyDescent="0.3">
      <c r="A294" s="5" t="s">
        <v>99</v>
      </c>
      <c r="B294" s="6">
        <v>45658</v>
      </c>
      <c r="C294" s="5" t="s">
        <v>31</v>
      </c>
      <c r="D294" s="5" t="s">
        <v>22</v>
      </c>
      <c r="E294" s="5">
        <v>51996.32</v>
      </c>
      <c r="F294" s="5">
        <v>3834</v>
      </c>
      <c r="G294" s="5">
        <v>9.6000000000000002E-2</v>
      </c>
      <c r="H294" s="5">
        <v>8</v>
      </c>
      <c r="I294" s="5">
        <v>86.7</v>
      </c>
      <c r="J294" s="5">
        <v>6.04</v>
      </c>
      <c r="K294" s="5">
        <v>0</v>
      </c>
      <c r="L294" s="5">
        <v>4.5</v>
      </c>
      <c r="M294" s="5">
        <v>546223.69999999995</v>
      </c>
      <c r="N294" s="5">
        <v>100769.17</v>
      </c>
      <c r="O294">
        <f t="shared" si="12"/>
        <v>0</v>
      </c>
      <c r="P294">
        <f t="shared" si="13"/>
        <v>0</v>
      </c>
      <c r="Q294">
        <f t="shared" si="14"/>
        <v>1</v>
      </c>
    </row>
    <row r="295" spans="1:17" x14ac:dyDescent="0.3">
      <c r="A295" s="5" t="s">
        <v>99</v>
      </c>
      <c r="B295" s="6">
        <v>45689</v>
      </c>
      <c r="C295" s="5" t="s">
        <v>31</v>
      </c>
      <c r="D295" s="5" t="s">
        <v>22</v>
      </c>
      <c r="E295" s="5">
        <v>40102.879999999997</v>
      </c>
      <c r="F295" s="5">
        <v>2358</v>
      </c>
      <c r="G295" s="5">
        <v>0.11899999999999999</v>
      </c>
      <c r="H295" s="5">
        <v>9</v>
      </c>
      <c r="I295" s="5">
        <v>88.7</v>
      </c>
      <c r="J295" s="5">
        <v>1.6</v>
      </c>
      <c r="K295" s="5">
        <v>0</v>
      </c>
      <c r="L295" s="5">
        <v>4.2</v>
      </c>
      <c r="M295" s="5">
        <v>533121.26</v>
      </c>
      <c r="N295" s="5">
        <v>55063.39</v>
      </c>
      <c r="O295">
        <f t="shared" si="12"/>
        <v>0</v>
      </c>
      <c r="P295">
        <f t="shared" si="13"/>
        <v>0</v>
      </c>
      <c r="Q295">
        <f t="shared" si="14"/>
        <v>1</v>
      </c>
    </row>
    <row r="296" spans="1:17" x14ac:dyDescent="0.3">
      <c r="A296" s="5" t="s">
        <v>99</v>
      </c>
      <c r="B296" s="6">
        <v>45717</v>
      </c>
      <c r="C296" s="5" t="s">
        <v>31</v>
      </c>
      <c r="D296" s="5" t="s">
        <v>22</v>
      </c>
      <c r="E296" s="5">
        <v>59825.51</v>
      </c>
      <c r="F296" s="5">
        <v>1231</v>
      </c>
      <c r="G296" s="5">
        <v>0.214</v>
      </c>
      <c r="H296" s="5">
        <v>10</v>
      </c>
      <c r="I296" s="5">
        <v>84.8</v>
      </c>
      <c r="J296" s="5">
        <v>8.9600000000000009</v>
      </c>
      <c r="K296" s="5">
        <v>0</v>
      </c>
      <c r="L296" s="5">
        <v>4.7</v>
      </c>
      <c r="M296" s="5">
        <v>498970.32</v>
      </c>
      <c r="N296" s="5">
        <v>69656.7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 x14ac:dyDescent="0.3">
      <c r="A297" s="5" t="s">
        <v>99</v>
      </c>
      <c r="B297" s="6">
        <v>45748</v>
      </c>
      <c r="C297" s="5" t="s">
        <v>31</v>
      </c>
      <c r="D297" s="5" t="s">
        <v>22</v>
      </c>
      <c r="E297" s="5">
        <v>27398.28</v>
      </c>
      <c r="F297" s="5">
        <v>1723</v>
      </c>
      <c r="G297" s="5">
        <v>0.17100000000000001</v>
      </c>
      <c r="H297" s="5">
        <v>9</v>
      </c>
      <c r="I297" s="5">
        <v>81</v>
      </c>
      <c r="J297" s="5">
        <v>0.74</v>
      </c>
      <c r="K297" s="5">
        <v>0</v>
      </c>
      <c r="L297" s="5">
        <v>4.5999999999999996</v>
      </c>
      <c r="M297" s="5">
        <v>487738.26</v>
      </c>
      <c r="N297" s="5">
        <v>96435.6</v>
      </c>
      <c r="O297">
        <f t="shared" si="12"/>
        <v>0</v>
      </c>
      <c r="P297">
        <f t="shared" si="13"/>
        <v>0</v>
      </c>
      <c r="Q297">
        <f t="shared" si="14"/>
        <v>1</v>
      </c>
    </row>
    <row r="298" spans="1:17" x14ac:dyDescent="0.3">
      <c r="A298" s="5" t="s">
        <v>100</v>
      </c>
      <c r="B298" s="6">
        <v>45658</v>
      </c>
      <c r="C298" s="5" t="s">
        <v>31</v>
      </c>
      <c r="D298" s="5" t="s">
        <v>22</v>
      </c>
      <c r="E298" s="5">
        <v>55599.56</v>
      </c>
      <c r="F298" s="5">
        <v>5896</v>
      </c>
      <c r="G298" s="5">
        <v>3.5999999999999997E-2</v>
      </c>
      <c r="H298" s="5">
        <v>12</v>
      </c>
      <c r="I298" s="5">
        <v>93.1</v>
      </c>
      <c r="J298" s="5">
        <v>6.13</v>
      </c>
      <c r="K298" s="5">
        <v>0</v>
      </c>
      <c r="L298" s="5">
        <v>3.3</v>
      </c>
      <c r="M298" s="5">
        <v>668459.37</v>
      </c>
      <c r="N298" s="5">
        <v>126435.42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 x14ac:dyDescent="0.3">
      <c r="A299" s="5" t="s">
        <v>100</v>
      </c>
      <c r="B299" s="6">
        <v>45689</v>
      </c>
      <c r="C299" s="5" t="s">
        <v>31</v>
      </c>
      <c r="D299" s="5" t="s">
        <v>22</v>
      </c>
      <c r="E299" s="5">
        <v>55477.61</v>
      </c>
      <c r="F299" s="5">
        <v>5903</v>
      </c>
      <c r="G299" s="5">
        <v>0.10199999999999999</v>
      </c>
      <c r="H299" s="5">
        <v>14</v>
      </c>
      <c r="I299" s="5">
        <v>96.2</v>
      </c>
      <c r="J299" s="5">
        <v>1.41</v>
      </c>
      <c r="K299" s="5">
        <v>0</v>
      </c>
      <c r="L299" s="5">
        <v>3.3</v>
      </c>
      <c r="M299" s="5">
        <v>763162.45</v>
      </c>
      <c r="N299" s="5">
        <v>162524.04999999999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 x14ac:dyDescent="0.3">
      <c r="A300" s="5" t="s">
        <v>100</v>
      </c>
      <c r="B300" s="6">
        <v>45717</v>
      </c>
      <c r="C300" s="5" t="s">
        <v>31</v>
      </c>
      <c r="D300" s="5" t="s">
        <v>22</v>
      </c>
      <c r="E300" s="5">
        <v>46174.7</v>
      </c>
      <c r="F300" s="5">
        <v>4898</v>
      </c>
      <c r="G300" s="5">
        <v>0.114</v>
      </c>
      <c r="H300" s="5">
        <v>11</v>
      </c>
      <c r="I300" s="5">
        <v>91.7</v>
      </c>
      <c r="J300" s="5">
        <v>3.75</v>
      </c>
      <c r="K300" s="5">
        <v>0</v>
      </c>
      <c r="L300" s="5">
        <v>3.1</v>
      </c>
      <c r="M300" s="5">
        <v>599017.32999999996</v>
      </c>
      <c r="N300" s="5">
        <v>134009.92000000001</v>
      </c>
      <c r="O300">
        <f t="shared" si="12"/>
        <v>0</v>
      </c>
      <c r="P300">
        <f t="shared" si="13"/>
        <v>0</v>
      </c>
      <c r="Q300">
        <f t="shared" si="14"/>
        <v>1</v>
      </c>
    </row>
    <row r="301" spans="1:17" x14ac:dyDescent="0.3">
      <c r="A301" s="5" t="s">
        <v>100</v>
      </c>
      <c r="B301" s="6">
        <v>45748</v>
      </c>
      <c r="C301" s="5" t="s">
        <v>31</v>
      </c>
      <c r="D301" s="5" t="s">
        <v>22</v>
      </c>
      <c r="E301" s="5">
        <v>24362.98</v>
      </c>
      <c r="F301" s="5">
        <v>1462</v>
      </c>
      <c r="G301" s="5">
        <v>0.11700000000000001</v>
      </c>
      <c r="H301" s="5">
        <v>6</v>
      </c>
      <c r="I301" s="5">
        <v>89.3</v>
      </c>
      <c r="J301" s="5">
        <v>15.06</v>
      </c>
      <c r="K301" s="5">
        <v>0</v>
      </c>
      <c r="L301" s="5">
        <v>3.2</v>
      </c>
      <c r="M301" s="5">
        <v>401582.58</v>
      </c>
      <c r="N301" s="5">
        <v>68454.929999999993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 x14ac:dyDescent="0.3">
      <c r="A302" s="5" t="s">
        <v>101</v>
      </c>
      <c r="B302" s="6">
        <v>45658</v>
      </c>
      <c r="C302" s="5" t="s">
        <v>24</v>
      </c>
      <c r="D302" s="5" t="s">
        <v>32</v>
      </c>
      <c r="E302" s="5">
        <v>40647.67</v>
      </c>
      <c r="F302" s="5">
        <v>8252</v>
      </c>
      <c r="G302" s="5">
        <v>0.14099999999999999</v>
      </c>
      <c r="H302" s="5">
        <v>22</v>
      </c>
      <c r="I302" s="5">
        <v>88.2</v>
      </c>
      <c r="J302" s="5">
        <v>5.07</v>
      </c>
      <c r="K302" s="5">
        <v>1</v>
      </c>
      <c r="L302" s="5">
        <v>4.0999999999999996</v>
      </c>
      <c r="M302" s="5">
        <v>703812.99</v>
      </c>
      <c r="N302" s="5">
        <v>133577.98000000001</v>
      </c>
      <c r="O302">
        <f t="shared" si="12"/>
        <v>0</v>
      </c>
      <c r="P302">
        <f t="shared" si="13"/>
        <v>1</v>
      </c>
      <c r="Q302">
        <f t="shared" si="14"/>
        <v>0</v>
      </c>
    </row>
    <row r="303" spans="1:17" x14ac:dyDescent="0.3">
      <c r="A303" s="5" t="s">
        <v>101</v>
      </c>
      <c r="B303" s="6">
        <v>45689</v>
      </c>
      <c r="C303" s="5" t="s">
        <v>24</v>
      </c>
      <c r="D303" s="5" t="s">
        <v>32</v>
      </c>
      <c r="E303" s="5">
        <v>63986.98</v>
      </c>
      <c r="F303" s="5">
        <v>7989</v>
      </c>
      <c r="G303" s="5">
        <v>7.3999999999999996E-2</v>
      </c>
      <c r="H303" s="5">
        <v>20</v>
      </c>
      <c r="I303" s="5">
        <v>83.3</v>
      </c>
      <c r="J303" s="5">
        <v>3.6</v>
      </c>
      <c r="K303" s="5">
        <v>0</v>
      </c>
      <c r="L303" s="5">
        <v>3.7</v>
      </c>
      <c r="M303" s="5">
        <v>724346.73</v>
      </c>
      <c r="N303" s="5">
        <v>155013.91</v>
      </c>
      <c r="O303">
        <f t="shared" si="12"/>
        <v>0</v>
      </c>
      <c r="P303">
        <f t="shared" si="13"/>
        <v>1</v>
      </c>
      <c r="Q303">
        <f t="shared" si="14"/>
        <v>0</v>
      </c>
    </row>
    <row r="304" spans="1:17" x14ac:dyDescent="0.3">
      <c r="A304" s="5" t="s">
        <v>101</v>
      </c>
      <c r="B304" s="6">
        <v>45717</v>
      </c>
      <c r="C304" s="5" t="s">
        <v>24</v>
      </c>
      <c r="D304" s="5" t="s">
        <v>32</v>
      </c>
      <c r="E304" s="5">
        <v>52843.75</v>
      </c>
      <c r="F304" s="5">
        <v>8268</v>
      </c>
      <c r="G304" s="5">
        <v>0.13800000000000001</v>
      </c>
      <c r="H304" s="5">
        <v>19</v>
      </c>
      <c r="I304" s="5">
        <v>87.3</v>
      </c>
      <c r="J304" s="5">
        <v>4.3899999999999997</v>
      </c>
      <c r="K304" s="5">
        <v>1</v>
      </c>
      <c r="L304" s="5">
        <v>4.7</v>
      </c>
      <c r="M304" s="5">
        <v>730890.01</v>
      </c>
      <c r="N304" s="5">
        <v>105502.56</v>
      </c>
      <c r="O304">
        <f t="shared" si="12"/>
        <v>0</v>
      </c>
      <c r="P304">
        <f t="shared" si="13"/>
        <v>1</v>
      </c>
      <c r="Q304">
        <f t="shared" si="14"/>
        <v>0</v>
      </c>
    </row>
    <row r="305" spans="1:17" x14ac:dyDescent="0.3">
      <c r="A305" s="5" t="s">
        <v>101</v>
      </c>
      <c r="B305" s="6">
        <v>45748</v>
      </c>
      <c r="C305" s="5" t="s">
        <v>24</v>
      </c>
      <c r="D305" s="5" t="s">
        <v>32</v>
      </c>
      <c r="E305" s="5">
        <v>31997.25</v>
      </c>
      <c r="F305" s="5">
        <v>8183</v>
      </c>
      <c r="G305" s="5">
        <v>0.19800000000000001</v>
      </c>
      <c r="H305" s="5">
        <v>18</v>
      </c>
      <c r="I305" s="5">
        <v>93</v>
      </c>
      <c r="J305" s="5">
        <v>2.79</v>
      </c>
      <c r="K305" s="5">
        <v>0</v>
      </c>
      <c r="L305" s="5">
        <v>4.2</v>
      </c>
      <c r="M305" s="5">
        <v>780580.95</v>
      </c>
      <c r="N305" s="5">
        <v>138144.46</v>
      </c>
      <c r="O305">
        <f t="shared" si="12"/>
        <v>0</v>
      </c>
      <c r="P305">
        <f t="shared" si="13"/>
        <v>1</v>
      </c>
      <c r="Q305">
        <f t="shared" si="14"/>
        <v>0</v>
      </c>
    </row>
    <row r="306" spans="1:17" x14ac:dyDescent="0.3">
      <c r="A306" s="5" t="s">
        <v>102</v>
      </c>
      <c r="B306" s="6">
        <v>45658</v>
      </c>
      <c r="C306" s="5" t="s">
        <v>28</v>
      </c>
      <c r="D306" s="5" t="s">
        <v>17</v>
      </c>
      <c r="E306" s="5">
        <v>54948.02</v>
      </c>
      <c r="F306" s="5">
        <v>6534</v>
      </c>
      <c r="G306" s="5">
        <v>0.183</v>
      </c>
      <c r="H306" s="5">
        <v>14</v>
      </c>
      <c r="I306" s="5">
        <v>94.5</v>
      </c>
      <c r="J306" s="5">
        <v>1.56</v>
      </c>
      <c r="K306" s="5">
        <v>0</v>
      </c>
      <c r="L306" s="5">
        <v>4</v>
      </c>
      <c r="M306" s="5">
        <v>727957.48</v>
      </c>
      <c r="N306" s="5">
        <v>74805.23</v>
      </c>
      <c r="O306">
        <f t="shared" si="12"/>
        <v>0</v>
      </c>
      <c r="P306">
        <f t="shared" si="13"/>
        <v>0</v>
      </c>
      <c r="Q306">
        <f t="shared" si="14"/>
        <v>0</v>
      </c>
    </row>
    <row r="307" spans="1:17" x14ac:dyDescent="0.3">
      <c r="A307" s="5" t="s">
        <v>102</v>
      </c>
      <c r="B307" s="6">
        <v>45689</v>
      </c>
      <c r="C307" s="5" t="s">
        <v>28</v>
      </c>
      <c r="D307" s="5" t="s">
        <v>17</v>
      </c>
      <c r="E307" s="5">
        <v>46146.239999999998</v>
      </c>
      <c r="F307" s="5">
        <v>5804</v>
      </c>
      <c r="G307" s="5">
        <v>4.7E-2</v>
      </c>
      <c r="H307" s="5">
        <v>16</v>
      </c>
      <c r="I307" s="5">
        <v>86.9</v>
      </c>
      <c r="J307" s="5">
        <v>15.82</v>
      </c>
      <c r="K307" s="5">
        <v>0</v>
      </c>
      <c r="L307" s="5">
        <v>3.8</v>
      </c>
      <c r="M307" s="5">
        <v>538376</v>
      </c>
      <c r="N307" s="5">
        <v>87605.62</v>
      </c>
      <c r="O307">
        <f t="shared" si="12"/>
        <v>0</v>
      </c>
      <c r="P307">
        <f t="shared" si="13"/>
        <v>0</v>
      </c>
      <c r="Q307">
        <f t="shared" si="14"/>
        <v>0</v>
      </c>
    </row>
    <row r="308" spans="1:17" x14ac:dyDescent="0.3">
      <c r="A308" s="5" t="s">
        <v>102</v>
      </c>
      <c r="B308" s="6">
        <v>45717</v>
      </c>
      <c r="C308" s="5" t="s">
        <v>28</v>
      </c>
      <c r="D308" s="5" t="s">
        <v>17</v>
      </c>
      <c r="E308" s="5">
        <v>22387.26</v>
      </c>
      <c r="F308" s="5">
        <v>6301</v>
      </c>
      <c r="G308" s="5">
        <v>0.14599999999999999</v>
      </c>
      <c r="H308" s="5">
        <v>14</v>
      </c>
      <c r="I308" s="5">
        <v>85.9</v>
      </c>
      <c r="J308" s="5">
        <v>1.17</v>
      </c>
      <c r="K308" s="5">
        <v>1</v>
      </c>
      <c r="L308" s="5">
        <v>3.7</v>
      </c>
      <c r="M308" s="5">
        <v>665342.49</v>
      </c>
      <c r="N308" s="5">
        <v>93441.81</v>
      </c>
      <c r="O308">
        <f t="shared" si="12"/>
        <v>0</v>
      </c>
      <c r="P308">
        <f t="shared" si="13"/>
        <v>0</v>
      </c>
      <c r="Q308">
        <f t="shared" si="14"/>
        <v>0</v>
      </c>
    </row>
    <row r="309" spans="1:17" x14ac:dyDescent="0.3">
      <c r="A309" s="5" t="s">
        <v>102</v>
      </c>
      <c r="B309" s="6">
        <v>45748</v>
      </c>
      <c r="C309" s="5" t="s">
        <v>28</v>
      </c>
      <c r="D309" s="5" t="s">
        <v>17</v>
      </c>
      <c r="E309" s="5">
        <v>60684.05</v>
      </c>
      <c r="F309" s="5">
        <v>6399</v>
      </c>
      <c r="G309" s="5">
        <v>7.4999999999999997E-2</v>
      </c>
      <c r="H309" s="5">
        <v>16</v>
      </c>
      <c r="I309" s="5">
        <v>99</v>
      </c>
      <c r="J309" s="5">
        <v>3.82</v>
      </c>
      <c r="K309" s="5">
        <v>0</v>
      </c>
      <c r="L309" s="5">
        <v>3.5</v>
      </c>
      <c r="M309" s="5">
        <v>651164.18000000005</v>
      </c>
      <c r="N309" s="5">
        <v>109466.5</v>
      </c>
      <c r="O309">
        <f t="shared" si="12"/>
        <v>0</v>
      </c>
      <c r="P309">
        <f t="shared" si="13"/>
        <v>0</v>
      </c>
      <c r="Q309">
        <f t="shared" si="14"/>
        <v>0</v>
      </c>
    </row>
    <row r="310" spans="1:17" x14ac:dyDescent="0.3">
      <c r="A310" s="5" t="s">
        <v>103</v>
      </c>
      <c r="B310" s="6">
        <v>45658</v>
      </c>
      <c r="C310" s="5" t="s">
        <v>28</v>
      </c>
      <c r="D310" s="5" t="s">
        <v>22</v>
      </c>
      <c r="E310" s="5">
        <v>48465.599999999999</v>
      </c>
      <c r="F310" s="5">
        <v>5759</v>
      </c>
      <c r="G310" s="5">
        <v>0.154</v>
      </c>
      <c r="H310" s="5">
        <v>13</v>
      </c>
      <c r="I310" s="5">
        <v>87.5</v>
      </c>
      <c r="J310" s="5">
        <v>4.1399999999999997</v>
      </c>
      <c r="K310" s="5">
        <v>0</v>
      </c>
      <c r="L310" s="5">
        <v>4</v>
      </c>
      <c r="M310" s="5">
        <v>628538.30000000005</v>
      </c>
      <c r="N310" s="5">
        <v>112509.15</v>
      </c>
      <c r="O310">
        <f t="shared" si="12"/>
        <v>0</v>
      </c>
      <c r="P310">
        <f t="shared" si="13"/>
        <v>0</v>
      </c>
      <c r="Q310">
        <f t="shared" si="14"/>
        <v>0</v>
      </c>
    </row>
    <row r="311" spans="1:17" x14ac:dyDescent="0.3">
      <c r="A311" s="5" t="s">
        <v>103</v>
      </c>
      <c r="B311" s="6">
        <v>45689</v>
      </c>
      <c r="C311" s="5" t="s">
        <v>28</v>
      </c>
      <c r="D311" s="5" t="s">
        <v>22</v>
      </c>
      <c r="E311" s="5">
        <v>23702.38</v>
      </c>
      <c r="F311" s="5">
        <v>5285</v>
      </c>
      <c r="G311" s="5">
        <v>0.16700000000000001</v>
      </c>
      <c r="H311" s="5">
        <v>14</v>
      </c>
      <c r="I311" s="5">
        <v>79.7</v>
      </c>
      <c r="J311" s="5">
        <v>1.1000000000000001</v>
      </c>
      <c r="K311" s="5">
        <v>0</v>
      </c>
      <c r="L311" s="5">
        <v>4.3</v>
      </c>
      <c r="M311" s="5">
        <v>536524.84</v>
      </c>
      <c r="N311" s="5">
        <v>92752.94</v>
      </c>
      <c r="O311">
        <f t="shared" si="12"/>
        <v>0</v>
      </c>
      <c r="P311">
        <f t="shared" si="13"/>
        <v>0</v>
      </c>
      <c r="Q311">
        <f t="shared" si="14"/>
        <v>0</v>
      </c>
    </row>
    <row r="312" spans="1:17" x14ac:dyDescent="0.3">
      <c r="A312" s="5" t="s">
        <v>103</v>
      </c>
      <c r="B312" s="6">
        <v>45717</v>
      </c>
      <c r="C312" s="5" t="s">
        <v>28</v>
      </c>
      <c r="D312" s="5" t="s">
        <v>22</v>
      </c>
      <c r="E312" s="5">
        <v>54322.94</v>
      </c>
      <c r="F312" s="5">
        <v>5434</v>
      </c>
      <c r="G312" s="5">
        <v>0.2</v>
      </c>
      <c r="H312" s="5">
        <v>13</v>
      </c>
      <c r="I312" s="5">
        <v>85.7</v>
      </c>
      <c r="J312" s="5">
        <v>10.6</v>
      </c>
      <c r="K312" s="5">
        <v>0</v>
      </c>
      <c r="L312" s="5">
        <v>4.2</v>
      </c>
      <c r="M312" s="5">
        <v>621677.30000000005</v>
      </c>
      <c r="N312" s="5">
        <v>105192.52</v>
      </c>
      <c r="O312">
        <f t="shared" si="12"/>
        <v>0</v>
      </c>
      <c r="P312">
        <f t="shared" si="13"/>
        <v>0</v>
      </c>
      <c r="Q312">
        <f t="shared" si="14"/>
        <v>0</v>
      </c>
    </row>
    <row r="313" spans="1:17" x14ac:dyDescent="0.3">
      <c r="A313" s="5" t="s">
        <v>103</v>
      </c>
      <c r="B313" s="6">
        <v>45748</v>
      </c>
      <c r="C313" s="5" t="s">
        <v>28</v>
      </c>
      <c r="D313" s="5" t="s">
        <v>22</v>
      </c>
      <c r="E313" s="5">
        <v>86026.58</v>
      </c>
      <c r="F313" s="5">
        <v>7479</v>
      </c>
      <c r="G313" s="5">
        <v>0.14199999999999999</v>
      </c>
      <c r="H313" s="5">
        <v>20</v>
      </c>
      <c r="I313" s="5">
        <v>89</v>
      </c>
      <c r="J313" s="5">
        <v>0.9</v>
      </c>
      <c r="K313" s="5">
        <v>0</v>
      </c>
      <c r="L313" s="5">
        <v>3.9246789999999998</v>
      </c>
      <c r="M313" s="5">
        <v>771129.07</v>
      </c>
      <c r="N313" s="5">
        <v>116851.13</v>
      </c>
      <c r="O313">
        <f t="shared" si="12"/>
        <v>0</v>
      </c>
      <c r="P313">
        <f t="shared" si="13"/>
        <v>0</v>
      </c>
      <c r="Q313">
        <f t="shared" si="14"/>
        <v>0</v>
      </c>
    </row>
    <row r="314" spans="1:17" x14ac:dyDescent="0.3">
      <c r="A314" s="5" t="s">
        <v>104</v>
      </c>
      <c r="B314" s="6">
        <v>45658</v>
      </c>
      <c r="C314" s="5" t="s">
        <v>24</v>
      </c>
      <c r="D314" s="5" t="s">
        <v>17</v>
      </c>
      <c r="E314" s="5">
        <v>78967.520000000004</v>
      </c>
      <c r="F314" s="5">
        <v>6164</v>
      </c>
      <c r="G314" s="5">
        <v>2.1000000000000001E-2</v>
      </c>
      <c r="H314" s="5">
        <v>16</v>
      </c>
      <c r="I314" s="5">
        <v>85.5</v>
      </c>
      <c r="J314" s="5">
        <v>0.2</v>
      </c>
      <c r="K314" s="5">
        <v>0</v>
      </c>
      <c r="L314" s="5">
        <v>3.4</v>
      </c>
      <c r="M314" s="5">
        <v>702052.47</v>
      </c>
      <c r="N314" s="5">
        <v>121732.51</v>
      </c>
      <c r="O314">
        <f t="shared" si="12"/>
        <v>0</v>
      </c>
      <c r="P314">
        <f t="shared" si="13"/>
        <v>1</v>
      </c>
      <c r="Q314">
        <f t="shared" si="14"/>
        <v>0</v>
      </c>
    </row>
    <row r="315" spans="1:17" x14ac:dyDescent="0.3">
      <c r="A315" s="5" t="s">
        <v>104</v>
      </c>
      <c r="B315" s="6">
        <v>45689</v>
      </c>
      <c r="C315" s="5" t="s">
        <v>24</v>
      </c>
      <c r="D315" s="5" t="s">
        <v>17</v>
      </c>
      <c r="E315" s="5">
        <v>46767.99</v>
      </c>
      <c r="F315" s="5">
        <v>7973</v>
      </c>
      <c r="G315" s="5">
        <v>0.183</v>
      </c>
      <c r="H315" s="5">
        <v>18</v>
      </c>
      <c r="I315" s="5">
        <v>94.8</v>
      </c>
      <c r="J315" s="5">
        <v>4.67</v>
      </c>
      <c r="K315" s="5">
        <v>0</v>
      </c>
      <c r="L315" s="5">
        <v>3.9246789999999998</v>
      </c>
      <c r="M315" s="5">
        <v>688368.46</v>
      </c>
      <c r="N315" s="5">
        <v>93588.42</v>
      </c>
      <c r="O315">
        <f t="shared" si="12"/>
        <v>0</v>
      </c>
      <c r="P315">
        <f t="shared" si="13"/>
        <v>1</v>
      </c>
      <c r="Q315">
        <f t="shared" si="14"/>
        <v>0</v>
      </c>
    </row>
    <row r="316" spans="1:17" x14ac:dyDescent="0.3">
      <c r="A316" s="5" t="s">
        <v>104</v>
      </c>
      <c r="B316" s="6">
        <v>45717</v>
      </c>
      <c r="C316" s="5" t="s">
        <v>24</v>
      </c>
      <c r="D316" s="5" t="s">
        <v>17</v>
      </c>
      <c r="E316" s="5">
        <v>62507.16</v>
      </c>
      <c r="F316" s="5">
        <v>6000</v>
      </c>
      <c r="G316" s="5">
        <v>9.0999999999999998E-2</v>
      </c>
      <c r="H316" s="5">
        <v>14</v>
      </c>
      <c r="I316" s="5">
        <v>98.2</v>
      </c>
      <c r="J316" s="5">
        <v>4.38</v>
      </c>
      <c r="K316" s="5">
        <v>1</v>
      </c>
      <c r="L316" s="5">
        <v>3.9</v>
      </c>
      <c r="M316" s="5">
        <v>712375.77</v>
      </c>
      <c r="N316" s="5">
        <v>104171.53</v>
      </c>
      <c r="O316">
        <f t="shared" si="12"/>
        <v>0</v>
      </c>
      <c r="P316">
        <f t="shared" si="13"/>
        <v>1</v>
      </c>
      <c r="Q316">
        <f t="shared" si="14"/>
        <v>0</v>
      </c>
    </row>
    <row r="317" spans="1:17" x14ac:dyDescent="0.3">
      <c r="A317" s="5" t="s">
        <v>104</v>
      </c>
      <c r="B317" s="6">
        <v>45748</v>
      </c>
      <c r="C317" s="5" t="s">
        <v>24</v>
      </c>
      <c r="D317" s="5" t="s">
        <v>17</v>
      </c>
      <c r="E317" s="5">
        <v>66456.28</v>
      </c>
      <c r="F317" s="5">
        <v>9967</v>
      </c>
      <c r="G317" s="5">
        <v>0.108</v>
      </c>
      <c r="H317" s="5">
        <v>20</v>
      </c>
      <c r="I317" s="5">
        <v>94.7</v>
      </c>
      <c r="J317" s="5">
        <v>4.4800000000000004</v>
      </c>
      <c r="K317" s="5">
        <v>0</v>
      </c>
      <c r="L317" s="5">
        <v>4.2</v>
      </c>
      <c r="M317" s="5">
        <v>844710.67</v>
      </c>
      <c r="N317" s="5">
        <v>137140.18</v>
      </c>
      <c r="O317">
        <f t="shared" si="12"/>
        <v>0</v>
      </c>
      <c r="P317">
        <f t="shared" si="13"/>
        <v>1</v>
      </c>
      <c r="Q317">
        <f t="shared" si="14"/>
        <v>0</v>
      </c>
    </row>
    <row r="318" spans="1:17" x14ac:dyDescent="0.3">
      <c r="A318" s="5" t="s">
        <v>105</v>
      </c>
      <c r="B318" s="6">
        <v>45658</v>
      </c>
      <c r="C318" s="5" t="s">
        <v>16</v>
      </c>
      <c r="D318" s="5" t="s">
        <v>17</v>
      </c>
      <c r="E318" s="5">
        <v>76614.320000000007</v>
      </c>
      <c r="F318" s="5">
        <v>5639</v>
      </c>
      <c r="G318" s="5">
        <v>0.17399999999999999</v>
      </c>
      <c r="H318" s="5">
        <v>15</v>
      </c>
      <c r="I318" s="5">
        <v>92.9</v>
      </c>
      <c r="J318" s="5">
        <v>1.02</v>
      </c>
      <c r="K318" s="5">
        <v>1</v>
      </c>
      <c r="L318" s="5">
        <v>4</v>
      </c>
      <c r="M318" s="5">
        <v>620264.19999999995</v>
      </c>
      <c r="N318" s="5">
        <v>91365.64</v>
      </c>
      <c r="O318">
        <f t="shared" si="12"/>
        <v>1</v>
      </c>
      <c r="P318">
        <f t="shared" si="13"/>
        <v>0</v>
      </c>
      <c r="Q318">
        <f t="shared" si="14"/>
        <v>0</v>
      </c>
    </row>
    <row r="319" spans="1:17" x14ac:dyDescent="0.3">
      <c r="A319" s="5" t="s">
        <v>105</v>
      </c>
      <c r="B319" s="6">
        <v>45689</v>
      </c>
      <c r="C319" s="5" t="s">
        <v>16</v>
      </c>
      <c r="D319" s="5" t="s">
        <v>17</v>
      </c>
      <c r="E319" s="5">
        <v>24088.06</v>
      </c>
      <c r="F319" s="5">
        <v>3466</v>
      </c>
      <c r="G319" s="5">
        <v>0</v>
      </c>
      <c r="H319" s="5">
        <v>11</v>
      </c>
      <c r="I319" s="5">
        <v>88</v>
      </c>
      <c r="J319" s="5">
        <v>0.2</v>
      </c>
      <c r="K319" s="5">
        <v>0</v>
      </c>
      <c r="L319" s="5">
        <v>3.8</v>
      </c>
      <c r="M319" s="5">
        <v>536845.42000000004</v>
      </c>
      <c r="N319" s="5">
        <v>107473.75</v>
      </c>
      <c r="O319">
        <f t="shared" si="12"/>
        <v>1</v>
      </c>
      <c r="P319">
        <f t="shared" si="13"/>
        <v>0</v>
      </c>
      <c r="Q319">
        <f t="shared" si="14"/>
        <v>0</v>
      </c>
    </row>
    <row r="320" spans="1:17" x14ac:dyDescent="0.3">
      <c r="A320" s="5" t="s">
        <v>105</v>
      </c>
      <c r="B320" s="6">
        <v>45717</v>
      </c>
      <c r="C320" s="5" t="s">
        <v>16</v>
      </c>
      <c r="D320" s="5" t="s">
        <v>17</v>
      </c>
      <c r="E320" s="5">
        <v>81902.58</v>
      </c>
      <c r="F320" s="5">
        <v>7775</v>
      </c>
      <c r="G320" s="5">
        <v>0.215</v>
      </c>
      <c r="H320" s="5">
        <v>20</v>
      </c>
      <c r="I320" s="5">
        <v>85.2</v>
      </c>
      <c r="J320" s="5">
        <v>4.8899999999999997</v>
      </c>
      <c r="K320" s="5">
        <v>1</v>
      </c>
      <c r="L320" s="5">
        <v>4.2</v>
      </c>
      <c r="M320" s="5">
        <v>726776.22</v>
      </c>
      <c r="N320" s="5">
        <v>90804.49</v>
      </c>
      <c r="O320">
        <f t="shared" si="12"/>
        <v>1</v>
      </c>
      <c r="P320">
        <f t="shared" si="13"/>
        <v>0</v>
      </c>
      <c r="Q320">
        <f t="shared" si="14"/>
        <v>0</v>
      </c>
    </row>
    <row r="321" spans="1:17" x14ac:dyDescent="0.3">
      <c r="A321" s="5" t="s">
        <v>105</v>
      </c>
      <c r="B321" s="6">
        <v>45748</v>
      </c>
      <c r="C321" s="5" t="s">
        <v>16</v>
      </c>
      <c r="D321" s="5" t="s">
        <v>17</v>
      </c>
      <c r="E321" s="5">
        <v>40553.11</v>
      </c>
      <c r="F321" s="5">
        <v>5317</v>
      </c>
      <c r="G321" s="5">
        <v>0.16500000000000001</v>
      </c>
      <c r="H321" s="5">
        <v>17</v>
      </c>
      <c r="I321" s="5">
        <v>84.3</v>
      </c>
      <c r="J321" s="5">
        <v>11.82</v>
      </c>
      <c r="K321" s="5">
        <v>0</v>
      </c>
      <c r="L321" s="5">
        <v>4.0999999999999996</v>
      </c>
      <c r="M321" s="5">
        <v>559660.84</v>
      </c>
      <c r="N321" s="5">
        <v>71443.61</v>
      </c>
      <c r="O321">
        <f t="shared" si="12"/>
        <v>1</v>
      </c>
      <c r="P321">
        <f t="shared" si="13"/>
        <v>0</v>
      </c>
      <c r="Q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zoomScaleNormal="100" workbookViewId="0">
      <selection activeCell="X9" sqref="X9"/>
    </sheetView>
  </sheetViews>
  <sheetFormatPr defaultRowHeight="14.4" x14ac:dyDescent="0.3"/>
  <cols>
    <col min="1" max="1" width="18.33203125" style="14" bestFit="1" customWidth="1"/>
    <col min="2" max="2" width="12" style="14" bestFit="1" customWidth="1"/>
    <col min="3" max="3" width="14.109375" style="14" bestFit="1" customWidth="1"/>
    <col min="4" max="5" width="12" style="14" bestFit="1" customWidth="1"/>
    <col min="6" max="6" width="13.44140625" style="14" bestFit="1" customWidth="1"/>
    <col min="7" max="7" width="12" style="14" bestFit="1" customWidth="1"/>
    <col min="8" max="8" width="12.21875" style="14" bestFit="1" customWidth="1"/>
    <col min="9" max="9" width="12.33203125" style="14" bestFit="1" customWidth="1"/>
    <col min="10" max="10" width="8.88671875" style="14"/>
    <col min="12" max="12" width="18.33203125" style="14" bestFit="1" customWidth="1"/>
    <col min="13" max="13" width="12" style="14" bestFit="1" customWidth="1"/>
    <col min="14" max="14" width="14.109375" style="14" bestFit="1" customWidth="1"/>
    <col min="15" max="16" width="12" style="14" bestFit="1" customWidth="1"/>
    <col min="17" max="17" width="13.44140625" style="14" bestFit="1" customWidth="1"/>
    <col min="18" max="18" width="12" style="14" bestFit="1" customWidth="1"/>
    <col min="19" max="19" width="12.21875" style="14" bestFit="1" customWidth="1"/>
    <col min="20" max="20" width="12.33203125" style="14" bestFit="1" customWidth="1"/>
    <col min="21" max="16384" width="8.88671875" style="14"/>
  </cols>
  <sheetData>
    <row r="1" spans="1:20" x14ac:dyDescent="0.3">
      <c r="A1" s="14" t="s">
        <v>109</v>
      </c>
      <c r="L1" s="14" t="s">
        <v>109</v>
      </c>
    </row>
    <row r="2" spans="1:20" ht="15" thickBot="1" x14ac:dyDescent="0.35"/>
    <row r="3" spans="1:20" x14ac:dyDescent="0.3">
      <c r="A3" s="15" t="s">
        <v>110</v>
      </c>
      <c r="B3" s="15"/>
      <c r="L3" s="15" t="s">
        <v>110</v>
      </c>
      <c r="M3" s="15"/>
    </row>
    <row r="4" spans="1:20" x14ac:dyDescent="0.3">
      <c r="A4" s="16" t="s">
        <v>111</v>
      </c>
      <c r="B4" s="16">
        <v>0.40895561021322352</v>
      </c>
      <c r="L4" s="16" t="s">
        <v>111</v>
      </c>
      <c r="M4" s="16">
        <v>0.85807070804410468</v>
      </c>
    </row>
    <row r="5" spans="1:20" x14ac:dyDescent="0.3">
      <c r="A5" s="16" t="s">
        <v>112</v>
      </c>
      <c r="B5" s="16">
        <v>0.16724469112487</v>
      </c>
      <c r="L5" s="16" t="s">
        <v>112</v>
      </c>
      <c r="M5" s="16">
        <v>0.73628534000331114</v>
      </c>
    </row>
    <row r="6" spans="1:20" x14ac:dyDescent="0.3">
      <c r="A6" s="16" t="s">
        <v>113</v>
      </c>
      <c r="B6" s="16">
        <v>0.16462596373847024</v>
      </c>
      <c r="L6" s="16" t="s">
        <v>113</v>
      </c>
      <c r="M6" s="16">
        <v>0.73545604861967373</v>
      </c>
    </row>
    <row r="7" spans="1:20" x14ac:dyDescent="0.3">
      <c r="A7" s="16" t="s">
        <v>114</v>
      </c>
      <c r="B7" s="16">
        <v>94846.03383215853</v>
      </c>
      <c r="L7" s="16" t="s">
        <v>114</v>
      </c>
      <c r="M7" s="16">
        <v>53373.736380790499</v>
      </c>
    </row>
    <row r="8" spans="1:20" ht="15" thickBot="1" x14ac:dyDescent="0.35">
      <c r="A8" s="17" t="s">
        <v>115</v>
      </c>
      <c r="B8" s="17">
        <v>320</v>
      </c>
      <c r="L8" s="17" t="s">
        <v>115</v>
      </c>
      <c r="M8" s="17">
        <v>320</v>
      </c>
    </row>
    <row r="10" spans="1:20" ht="15" thickBot="1" x14ac:dyDescent="0.35">
      <c r="A10" s="14" t="s">
        <v>116</v>
      </c>
      <c r="L10" s="14" t="s">
        <v>116</v>
      </c>
    </row>
    <row r="11" spans="1:20" x14ac:dyDescent="0.3">
      <c r="A11" s="18"/>
      <c r="B11" s="18" t="s">
        <v>121</v>
      </c>
      <c r="C11" s="18" t="s">
        <v>122</v>
      </c>
      <c r="D11" s="18" t="s">
        <v>123</v>
      </c>
      <c r="E11" s="18" t="s">
        <v>124</v>
      </c>
      <c r="F11" s="18" t="s">
        <v>125</v>
      </c>
      <c r="L11" s="18"/>
      <c r="M11" s="18" t="s">
        <v>121</v>
      </c>
      <c r="N11" s="18" t="s">
        <v>122</v>
      </c>
      <c r="O11" s="18" t="s">
        <v>123</v>
      </c>
      <c r="P11" s="18" t="s">
        <v>124</v>
      </c>
      <c r="Q11" s="18" t="s">
        <v>125</v>
      </c>
    </row>
    <row r="12" spans="1:20" x14ac:dyDescent="0.3">
      <c r="A12" s="16" t="s">
        <v>117</v>
      </c>
      <c r="B12" s="16">
        <v>1</v>
      </c>
      <c r="C12" s="16">
        <v>574513714277.01416</v>
      </c>
      <c r="D12" s="16">
        <v>574513714277.01416</v>
      </c>
      <c r="E12" s="16">
        <v>63.864872683367629</v>
      </c>
      <c r="F12" s="16">
        <v>2.4800615101359619E-14</v>
      </c>
      <c r="L12" s="16" t="s">
        <v>117</v>
      </c>
      <c r="M12" s="16">
        <v>1</v>
      </c>
      <c r="N12" s="16">
        <v>2529264292982.4736</v>
      </c>
      <c r="O12" s="16">
        <v>2529264292982.4736</v>
      </c>
      <c r="P12" s="16">
        <v>887.84877611276033</v>
      </c>
      <c r="Q12" s="16">
        <v>4.7503615090053331E-94</v>
      </c>
    </row>
    <row r="13" spans="1:20" x14ac:dyDescent="0.3">
      <c r="A13" s="16" t="s">
        <v>118</v>
      </c>
      <c r="B13" s="16">
        <v>318</v>
      </c>
      <c r="C13" s="16">
        <v>2860654902513.7251</v>
      </c>
      <c r="D13" s="16">
        <v>8995770133.6909599</v>
      </c>
      <c r="E13" s="16"/>
      <c r="F13" s="16"/>
      <c r="L13" s="16" t="s">
        <v>118</v>
      </c>
      <c r="M13" s="16">
        <v>318</v>
      </c>
      <c r="N13" s="16">
        <v>905904323808.26587</v>
      </c>
      <c r="O13" s="16">
        <v>2848755735.246119</v>
      </c>
      <c r="P13" s="16"/>
      <c r="Q13" s="16"/>
    </row>
    <row r="14" spans="1:20" ht="15" thickBot="1" x14ac:dyDescent="0.35">
      <c r="A14" s="17" t="s">
        <v>119</v>
      </c>
      <c r="B14" s="17">
        <v>319</v>
      </c>
      <c r="C14" s="17">
        <v>3435168616790.7393</v>
      </c>
      <c r="D14" s="17"/>
      <c r="E14" s="17"/>
      <c r="F14" s="17"/>
      <c r="L14" s="17" t="s">
        <v>119</v>
      </c>
      <c r="M14" s="17">
        <v>319</v>
      </c>
      <c r="N14" s="17">
        <v>3435168616790.7393</v>
      </c>
      <c r="O14" s="17"/>
      <c r="P14" s="17"/>
      <c r="Q14" s="17"/>
    </row>
    <row r="15" spans="1:20" ht="15" thickBot="1" x14ac:dyDescent="0.35"/>
    <row r="16" spans="1:20" x14ac:dyDescent="0.3">
      <c r="A16" s="18"/>
      <c r="B16" s="18" t="s">
        <v>126</v>
      </c>
      <c r="C16" s="18" t="s">
        <v>114</v>
      </c>
      <c r="D16" s="18" t="s">
        <v>127</v>
      </c>
      <c r="E16" s="18" t="s">
        <v>128</v>
      </c>
      <c r="F16" s="18" t="s">
        <v>129</v>
      </c>
      <c r="G16" s="18" t="s">
        <v>130</v>
      </c>
      <c r="H16" s="18" t="s">
        <v>131</v>
      </c>
      <c r="I16" s="18" t="s">
        <v>132</v>
      </c>
      <c r="L16" s="18"/>
      <c r="M16" s="18" t="s">
        <v>126</v>
      </c>
      <c r="N16" s="18" t="s">
        <v>114</v>
      </c>
      <c r="O16" s="18" t="s">
        <v>127</v>
      </c>
      <c r="P16" s="18" t="s">
        <v>128</v>
      </c>
      <c r="Q16" s="18" t="s">
        <v>129</v>
      </c>
      <c r="R16" s="18" t="s">
        <v>130</v>
      </c>
      <c r="S16" s="18" t="s">
        <v>131</v>
      </c>
      <c r="T16" s="18" t="s">
        <v>132</v>
      </c>
    </row>
    <row r="17" spans="1:20" x14ac:dyDescent="0.3">
      <c r="A17" s="16" t="s">
        <v>120</v>
      </c>
      <c r="B17" s="16">
        <v>560777.34544943704</v>
      </c>
      <c r="C17" s="16">
        <v>15906.905953068674</v>
      </c>
      <c r="D17" s="16">
        <v>35.253703460870398</v>
      </c>
      <c r="E17" s="16">
        <v>6.952876876284135E-112</v>
      </c>
      <c r="F17" s="16">
        <v>529481.27234763221</v>
      </c>
      <c r="G17" s="16">
        <v>592073.41855124186</v>
      </c>
      <c r="H17" s="16">
        <v>529481.27234763221</v>
      </c>
      <c r="I17" s="16">
        <v>592073.41855124186</v>
      </c>
      <c r="L17" s="16" t="s">
        <v>120</v>
      </c>
      <c r="M17" s="16">
        <v>446410.58293395344</v>
      </c>
      <c r="N17" s="16">
        <v>8407.7382630059928</v>
      </c>
      <c r="O17" s="16">
        <v>53.095204556754318</v>
      </c>
      <c r="P17" s="16">
        <v>4.0862695711507226E-160</v>
      </c>
      <c r="Q17" s="16">
        <v>429868.76191129786</v>
      </c>
      <c r="R17" s="16">
        <v>462952.40395660902</v>
      </c>
      <c r="S17" s="16">
        <v>429868.76191129786</v>
      </c>
      <c r="T17" s="16">
        <v>462952.40395660902</v>
      </c>
    </row>
    <row r="18" spans="1:20" ht="15" thickBot="1" x14ac:dyDescent="0.35">
      <c r="A18" s="17" t="s">
        <v>4</v>
      </c>
      <c r="B18" s="17">
        <v>2.1295753275898281</v>
      </c>
      <c r="C18" s="17">
        <v>0.26647838106932348</v>
      </c>
      <c r="D18" s="17">
        <v>7.991550080138869</v>
      </c>
      <c r="E18" s="17">
        <v>2.4800615101360068E-14</v>
      </c>
      <c r="F18" s="17">
        <v>1.6052919176921738</v>
      </c>
      <c r="G18" s="17">
        <v>2.6538587374874822</v>
      </c>
      <c r="H18" s="17">
        <v>1.6052919176921738</v>
      </c>
      <c r="I18" s="17">
        <v>2.6538587374874822</v>
      </c>
      <c r="L18" s="17" t="s">
        <v>5</v>
      </c>
      <c r="M18" s="17">
        <v>35.678031072640458</v>
      </c>
      <c r="N18" s="17">
        <v>1.1973782890340821</v>
      </c>
      <c r="O18" s="17">
        <v>29.796791372776362</v>
      </c>
      <c r="P18" s="17">
        <v>4.7503615090054677E-94</v>
      </c>
      <c r="Q18" s="17">
        <v>33.322246825554025</v>
      </c>
      <c r="R18" s="17">
        <v>38.033815319726891</v>
      </c>
      <c r="S18" s="17">
        <v>33.322246825554025</v>
      </c>
      <c r="T18" s="17">
        <v>38.033815319726891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Views>
    <sheetView workbookViewId="0">
      <selection activeCell="Y37" sqref="Y37"/>
    </sheetView>
  </sheetViews>
  <sheetFormatPr defaultRowHeight="14.4" x14ac:dyDescent="0.3"/>
  <cols>
    <col min="1" max="1" width="13.21875" bestFit="1" customWidth="1"/>
    <col min="2" max="2" width="15.77734375" bestFit="1" customWidth="1"/>
    <col min="3" max="3" width="7.109375" bestFit="1" customWidth="1"/>
    <col min="4" max="4" width="23.109375" bestFit="1" customWidth="1"/>
    <col min="5" max="5" width="12.109375" bestFit="1" customWidth="1"/>
    <col min="6" max="6" width="13.6640625" bestFit="1" customWidth="1"/>
    <col min="7" max="7" width="12.88671875" bestFit="1" customWidth="1"/>
    <col min="9" max="9" width="22.21875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7" width="12.6640625" bestFit="1" customWidth="1"/>
  </cols>
  <sheetData>
    <row r="1" spans="1:17" x14ac:dyDescent="0.3">
      <c r="A1" s="4" t="s">
        <v>12</v>
      </c>
      <c r="B1" s="4" t="s">
        <v>4</v>
      </c>
      <c r="C1" s="4" t="s">
        <v>5</v>
      </c>
      <c r="D1" s="4" t="s">
        <v>8</v>
      </c>
      <c r="E1" s="4" t="s">
        <v>106</v>
      </c>
      <c r="F1" s="4" t="s">
        <v>107</v>
      </c>
      <c r="G1" s="4" t="s">
        <v>108</v>
      </c>
      <c r="I1" t="s">
        <v>109</v>
      </c>
    </row>
    <row r="2" spans="1:17" ht="15" thickBot="1" x14ac:dyDescent="0.35">
      <c r="A2" s="5">
        <v>658832.62</v>
      </c>
      <c r="B2" s="5">
        <v>70389.11</v>
      </c>
      <c r="C2" s="5">
        <v>8302</v>
      </c>
      <c r="D2" s="5">
        <v>75</v>
      </c>
      <c r="E2">
        <v>1</v>
      </c>
      <c r="F2">
        <v>0</v>
      </c>
      <c r="G2">
        <v>0</v>
      </c>
    </row>
    <row r="3" spans="1:17" x14ac:dyDescent="0.3">
      <c r="A3" s="5">
        <v>634436</v>
      </c>
      <c r="B3" s="5">
        <v>43827.89</v>
      </c>
      <c r="C3" s="5">
        <v>8487</v>
      </c>
      <c r="D3" s="5">
        <v>84.4</v>
      </c>
      <c r="E3">
        <v>1</v>
      </c>
      <c r="F3">
        <v>0</v>
      </c>
      <c r="G3">
        <v>0</v>
      </c>
      <c r="I3" s="10" t="s">
        <v>110</v>
      </c>
      <c r="J3" s="10"/>
    </row>
    <row r="4" spans="1:17" x14ac:dyDescent="0.3">
      <c r="A4" s="5">
        <v>678722.06</v>
      </c>
      <c r="B4" s="5">
        <v>59921.75</v>
      </c>
      <c r="C4" s="5">
        <v>9113</v>
      </c>
      <c r="D4" s="5">
        <v>88</v>
      </c>
      <c r="E4">
        <v>1</v>
      </c>
      <c r="F4">
        <v>0</v>
      </c>
      <c r="G4">
        <v>0</v>
      </c>
      <c r="I4" s="7" t="s">
        <v>111</v>
      </c>
      <c r="J4" s="7">
        <v>0.90077515418389342</v>
      </c>
    </row>
    <row r="5" spans="1:17" x14ac:dyDescent="0.3">
      <c r="A5" s="5">
        <v>658920.30000000005</v>
      </c>
      <c r="B5" s="5">
        <v>56856.63</v>
      </c>
      <c r="C5" s="5">
        <v>9431</v>
      </c>
      <c r="D5" s="5">
        <v>86.9</v>
      </c>
      <c r="E5">
        <v>1</v>
      </c>
      <c r="F5">
        <v>0</v>
      </c>
      <c r="G5">
        <v>0</v>
      </c>
      <c r="I5" s="7" t="s">
        <v>112</v>
      </c>
      <c r="J5" s="7">
        <v>0.81139587839501703</v>
      </c>
    </row>
    <row r="6" spans="1:17" x14ac:dyDescent="0.3">
      <c r="A6" s="5">
        <v>741341.44</v>
      </c>
      <c r="B6" s="5">
        <v>48412.639999999999</v>
      </c>
      <c r="C6" s="5">
        <v>9545</v>
      </c>
      <c r="D6" s="5">
        <v>97.6</v>
      </c>
      <c r="E6">
        <v>1</v>
      </c>
      <c r="F6">
        <v>0</v>
      </c>
      <c r="G6">
        <v>0</v>
      </c>
      <c r="I6" s="7" t="s">
        <v>113</v>
      </c>
      <c r="J6" s="7">
        <v>0.80778046392335601</v>
      </c>
    </row>
    <row r="7" spans="1:17" x14ac:dyDescent="0.3">
      <c r="A7" s="5">
        <v>761835.34</v>
      </c>
      <c r="B7" s="5">
        <v>64811.21</v>
      </c>
      <c r="C7" s="5">
        <v>9792</v>
      </c>
      <c r="D7" s="5">
        <v>84.2</v>
      </c>
      <c r="E7">
        <v>1</v>
      </c>
      <c r="F7">
        <v>0</v>
      </c>
      <c r="G7">
        <v>0</v>
      </c>
      <c r="I7" s="7" t="s">
        <v>114</v>
      </c>
      <c r="J7" s="7">
        <v>45496.443688382569</v>
      </c>
    </row>
    <row r="8" spans="1:17" ht="15" thickBot="1" x14ac:dyDescent="0.35">
      <c r="A8" s="5">
        <v>806615.54</v>
      </c>
      <c r="B8" s="5">
        <v>46213.45</v>
      </c>
      <c r="C8" s="5">
        <v>10616</v>
      </c>
      <c r="D8" s="5">
        <v>85.2</v>
      </c>
      <c r="E8">
        <v>1</v>
      </c>
      <c r="F8">
        <v>0</v>
      </c>
      <c r="G8">
        <v>0</v>
      </c>
      <c r="I8" s="8" t="s">
        <v>115</v>
      </c>
      <c r="J8" s="8">
        <v>320</v>
      </c>
    </row>
    <row r="9" spans="1:17" x14ac:dyDescent="0.3">
      <c r="A9" s="5">
        <v>850164.26</v>
      </c>
      <c r="B9" s="5">
        <v>68148.52</v>
      </c>
      <c r="C9" s="5">
        <v>8567</v>
      </c>
      <c r="D9" s="5">
        <v>95.6</v>
      </c>
      <c r="E9">
        <v>1</v>
      </c>
      <c r="F9">
        <v>0</v>
      </c>
      <c r="G9">
        <v>0</v>
      </c>
    </row>
    <row r="10" spans="1:17" ht="15" thickBot="1" x14ac:dyDescent="0.35">
      <c r="A10" s="5">
        <v>930581.7</v>
      </c>
      <c r="B10" s="5">
        <v>71838.86</v>
      </c>
      <c r="C10" s="5">
        <v>10979</v>
      </c>
      <c r="D10" s="5">
        <v>88.6</v>
      </c>
      <c r="E10">
        <v>0</v>
      </c>
      <c r="F10">
        <v>1</v>
      </c>
      <c r="G10">
        <v>0</v>
      </c>
      <c r="I10" t="s">
        <v>116</v>
      </c>
    </row>
    <row r="11" spans="1:17" x14ac:dyDescent="0.3">
      <c r="A11" s="5">
        <v>779010.94</v>
      </c>
      <c r="B11" s="5">
        <v>68133.440000000002</v>
      </c>
      <c r="C11" s="5">
        <v>9459</v>
      </c>
      <c r="D11" s="5">
        <v>85</v>
      </c>
      <c r="E11">
        <v>0</v>
      </c>
      <c r="F11">
        <v>1</v>
      </c>
      <c r="G11">
        <v>0</v>
      </c>
      <c r="I11" s="9"/>
      <c r="J11" s="9" t="s">
        <v>121</v>
      </c>
      <c r="K11" s="9" t="s">
        <v>122</v>
      </c>
      <c r="L11" s="9" t="s">
        <v>123</v>
      </c>
      <c r="M11" s="9" t="s">
        <v>124</v>
      </c>
      <c r="N11" s="9" t="s">
        <v>125</v>
      </c>
    </row>
    <row r="12" spans="1:17" x14ac:dyDescent="0.3">
      <c r="A12" s="5">
        <v>723060.76</v>
      </c>
      <c r="B12" s="5">
        <v>34285.21</v>
      </c>
      <c r="C12" s="5">
        <v>9172</v>
      </c>
      <c r="D12" s="5">
        <v>88.3</v>
      </c>
      <c r="E12">
        <v>0</v>
      </c>
      <c r="F12">
        <v>1</v>
      </c>
      <c r="G12">
        <v>0</v>
      </c>
      <c r="I12" s="7" t="s">
        <v>117</v>
      </c>
      <c r="J12" s="7">
        <v>6</v>
      </c>
      <c r="K12" s="7">
        <v>2787281657255.9175</v>
      </c>
      <c r="L12" s="7">
        <v>464546942875.98627</v>
      </c>
      <c r="M12" s="7">
        <v>224.42679387247139</v>
      </c>
      <c r="N12" s="7">
        <v>3.4656671817224033E-110</v>
      </c>
    </row>
    <row r="13" spans="1:17" x14ac:dyDescent="0.3">
      <c r="A13" s="5">
        <v>910791.94</v>
      </c>
      <c r="B13" s="5">
        <v>67979.88</v>
      </c>
      <c r="C13" s="5">
        <v>11230</v>
      </c>
      <c r="D13" s="5">
        <v>85.3</v>
      </c>
      <c r="E13">
        <v>0</v>
      </c>
      <c r="F13">
        <v>1</v>
      </c>
      <c r="G13">
        <v>0</v>
      </c>
      <c r="I13" s="7" t="s">
        <v>118</v>
      </c>
      <c r="J13" s="7">
        <v>313</v>
      </c>
      <c r="K13" s="7">
        <v>647886959534.8219</v>
      </c>
      <c r="L13" s="7">
        <v>2069926388.2901659</v>
      </c>
      <c r="M13" s="7"/>
      <c r="N13" s="7"/>
    </row>
    <row r="14" spans="1:17" ht="15" thickBot="1" x14ac:dyDescent="0.35">
      <c r="A14" s="5">
        <v>922168.6</v>
      </c>
      <c r="B14" s="5">
        <v>71828.259999999995</v>
      </c>
      <c r="C14" s="5">
        <v>12775</v>
      </c>
      <c r="D14" s="5">
        <v>81.7</v>
      </c>
      <c r="E14">
        <v>1</v>
      </c>
      <c r="F14">
        <v>0</v>
      </c>
      <c r="G14">
        <v>0</v>
      </c>
      <c r="I14" s="8" t="s">
        <v>119</v>
      </c>
      <c r="J14" s="8">
        <v>319</v>
      </c>
      <c r="K14" s="8">
        <v>3435168616790.7393</v>
      </c>
      <c r="L14" s="8"/>
      <c r="M14" s="8"/>
      <c r="N14" s="8"/>
    </row>
    <row r="15" spans="1:17" ht="15" thickBot="1" x14ac:dyDescent="0.35">
      <c r="A15" s="5">
        <v>726606.28</v>
      </c>
      <c r="B15" s="5">
        <v>55716.82</v>
      </c>
      <c r="C15" s="5">
        <v>10054</v>
      </c>
      <c r="D15" s="5">
        <v>84.9</v>
      </c>
      <c r="E15">
        <v>1</v>
      </c>
      <c r="F15">
        <v>0</v>
      </c>
      <c r="G15">
        <v>0</v>
      </c>
    </row>
    <row r="16" spans="1:17" x14ac:dyDescent="0.3">
      <c r="A16" s="5">
        <v>746501.09</v>
      </c>
      <c r="B16" s="5">
        <v>59909.51</v>
      </c>
      <c r="C16" s="5">
        <v>8895</v>
      </c>
      <c r="D16" s="5">
        <v>88.8</v>
      </c>
      <c r="E16">
        <v>1</v>
      </c>
      <c r="F16">
        <v>0</v>
      </c>
      <c r="G16">
        <v>0</v>
      </c>
      <c r="I16" s="9"/>
      <c r="J16" s="9" t="s">
        <v>126</v>
      </c>
      <c r="K16" s="9" t="s">
        <v>114</v>
      </c>
      <c r="L16" s="9" t="s">
        <v>127</v>
      </c>
      <c r="M16" s="9" t="s">
        <v>128</v>
      </c>
      <c r="N16" s="9" t="s">
        <v>129</v>
      </c>
      <c r="O16" s="9" t="s">
        <v>130</v>
      </c>
      <c r="P16" s="9" t="s">
        <v>131</v>
      </c>
      <c r="Q16" s="9" t="s">
        <v>132</v>
      </c>
    </row>
    <row r="17" spans="1:17" x14ac:dyDescent="0.3">
      <c r="A17" s="5">
        <v>834017.02</v>
      </c>
      <c r="B17" s="5">
        <v>75305.710000000006</v>
      </c>
      <c r="C17" s="5">
        <v>10940</v>
      </c>
      <c r="D17" s="5">
        <v>76.5</v>
      </c>
      <c r="E17">
        <v>1</v>
      </c>
      <c r="F17">
        <v>0</v>
      </c>
      <c r="G17">
        <v>0</v>
      </c>
      <c r="I17" s="7" t="s">
        <v>120</v>
      </c>
      <c r="J17" s="7">
        <v>153400.7954321384</v>
      </c>
      <c r="K17" s="7">
        <v>43877.065619655186</v>
      </c>
      <c r="L17" s="7">
        <v>3.4961498282925496</v>
      </c>
      <c r="M17" s="7">
        <v>5.4024508734294729E-4</v>
      </c>
      <c r="N17" s="7">
        <v>67069.508821761934</v>
      </c>
      <c r="O17" s="7">
        <v>239732.08204251487</v>
      </c>
      <c r="P17" s="7">
        <v>67069.508821761934</v>
      </c>
      <c r="Q17" s="7">
        <v>239732.08204251487</v>
      </c>
    </row>
    <row r="18" spans="1:17" x14ac:dyDescent="0.3">
      <c r="A18" s="5">
        <v>666152.52</v>
      </c>
      <c r="B18" s="5">
        <v>48804.22</v>
      </c>
      <c r="C18" s="5">
        <v>7057</v>
      </c>
      <c r="D18" s="5">
        <v>87.7</v>
      </c>
      <c r="E18">
        <v>0</v>
      </c>
      <c r="F18">
        <v>0</v>
      </c>
      <c r="G18">
        <v>0</v>
      </c>
      <c r="I18" s="7" t="s">
        <v>4</v>
      </c>
      <c r="J18" s="7">
        <v>1.1859141301575513</v>
      </c>
      <c r="K18" s="7">
        <v>0.13170320181029171</v>
      </c>
      <c r="L18" s="7">
        <v>9.0044441885761373</v>
      </c>
      <c r="M18" s="7">
        <v>2.1662838111125115E-17</v>
      </c>
      <c r="N18" s="7">
        <v>0.92677859539892815</v>
      </c>
      <c r="O18" s="7">
        <v>1.4450496649161746</v>
      </c>
      <c r="P18" s="7">
        <v>0.92677859539892815</v>
      </c>
      <c r="Q18" s="7">
        <v>1.4450496649161746</v>
      </c>
    </row>
    <row r="19" spans="1:17" x14ac:dyDescent="0.3">
      <c r="A19" s="5">
        <v>573155.18999999994</v>
      </c>
      <c r="B19" s="5">
        <v>59117.9</v>
      </c>
      <c r="C19" s="5">
        <v>4263</v>
      </c>
      <c r="D19" s="5">
        <v>87.6</v>
      </c>
      <c r="E19">
        <v>0</v>
      </c>
      <c r="F19">
        <v>0</v>
      </c>
      <c r="G19">
        <v>0</v>
      </c>
      <c r="I19" s="7" t="s">
        <v>5</v>
      </c>
      <c r="J19" s="7">
        <v>33.870420780385572</v>
      </c>
      <c r="K19" s="7">
        <v>1.0555073594398825</v>
      </c>
      <c r="L19" s="7">
        <v>32.08923223269548</v>
      </c>
      <c r="M19" s="7">
        <v>5.4207612326488281E-101</v>
      </c>
      <c r="N19" s="7">
        <v>31.793634033590305</v>
      </c>
      <c r="O19" s="7">
        <v>35.947207527180836</v>
      </c>
      <c r="P19" s="7">
        <v>31.793634033590305</v>
      </c>
      <c r="Q19" s="7">
        <v>35.947207527180836</v>
      </c>
    </row>
    <row r="20" spans="1:17" x14ac:dyDescent="0.3">
      <c r="A20" s="5">
        <v>666573.19999999995</v>
      </c>
      <c r="B20" s="5">
        <v>78831.12</v>
      </c>
      <c r="C20" s="5">
        <v>5538</v>
      </c>
      <c r="D20" s="5">
        <v>94.1</v>
      </c>
      <c r="E20">
        <v>0</v>
      </c>
      <c r="F20">
        <v>0</v>
      </c>
      <c r="G20">
        <v>0</v>
      </c>
      <c r="I20" s="7" t="s">
        <v>8</v>
      </c>
      <c r="J20" s="7">
        <v>2818.2067785413178</v>
      </c>
      <c r="K20" s="7">
        <v>477.78799931217014</v>
      </c>
      <c r="L20" s="7">
        <v>5.898446136358479</v>
      </c>
      <c r="M20" s="7">
        <v>9.5138069127620582E-9</v>
      </c>
      <c r="N20" s="7">
        <v>1878.1244798485852</v>
      </c>
      <c r="O20" s="7">
        <v>3758.2890772340506</v>
      </c>
      <c r="P20" s="7">
        <v>1878.1244798485852</v>
      </c>
      <c r="Q20" s="7">
        <v>3758.2890772340506</v>
      </c>
    </row>
    <row r="21" spans="1:17" x14ac:dyDescent="0.3">
      <c r="A21" s="5">
        <v>591619.94999999995</v>
      </c>
      <c r="B21" s="5">
        <v>41441.93</v>
      </c>
      <c r="C21" s="5">
        <v>4865</v>
      </c>
      <c r="D21" s="5">
        <v>88.3</v>
      </c>
      <c r="E21">
        <v>0</v>
      </c>
      <c r="F21">
        <v>0</v>
      </c>
      <c r="G21">
        <v>0</v>
      </c>
      <c r="I21" s="7" t="s">
        <v>106</v>
      </c>
      <c r="J21" s="7">
        <v>-21940.488280723304</v>
      </c>
      <c r="K21" s="7">
        <v>7387.4442690041078</v>
      </c>
      <c r="L21" s="7">
        <v>-2.9699700575448231</v>
      </c>
      <c r="M21" s="7">
        <v>3.2086296080736328E-3</v>
      </c>
      <c r="N21" s="7">
        <v>-36475.816919926612</v>
      </c>
      <c r="O21" s="7">
        <v>-7405.1596415200002</v>
      </c>
      <c r="P21" s="7">
        <v>-36475.816919926612</v>
      </c>
      <c r="Q21" s="7">
        <v>-7405.1596415200002</v>
      </c>
    </row>
    <row r="22" spans="1:17" x14ac:dyDescent="0.3">
      <c r="A22" s="5">
        <v>415721.82</v>
      </c>
      <c r="B22" s="5">
        <v>30356.28</v>
      </c>
      <c r="C22" s="5">
        <v>2822</v>
      </c>
      <c r="D22" s="5">
        <v>84.8</v>
      </c>
      <c r="E22">
        <v>0</v>
      </c>
      <c r="F22">
        <v>1</v>
      </c>
      <c r="G22">
        <v>0</v>
      </c>
      <c r="I22" s="7" t="s">
        <v>107</v>
      </c>
      <c r="J22" s="7">
        <v>-11393.108647517774</v>
      </c>
      <c r="K22" s="7">
        <v>8189.2055850541028</v>
      </c>
      <c r="L22" s="7">
        <v>-1.391234904190344</v>
      </c>
      <c r="M22" s="7">
        <v>0.16514227943700616</v>
      </c>
      <c r="N22" s="7">
        <v>-27505.960418487171</v>
      </c>
      <c r="O22" s="7">
        <v>4719.7431234516207</v>
      </c>
      <c r="P22" s="7">
        <v>-27505.960418487171</v>
      </c>
      <c r="Q22" s="7">
        <v>4719.7431234516207</v>
      </c>
    </row>
    <row r="23" spans="1:17" ht="15" thickBot="1" x14ac:dyDescent="0.35">
      <c r="A23" s="5">
        <v>491905.13</v>
      </c>
      <c r="B23" s="5">
        <v>33518.879999999997</v>
      </c>
      <c r="C23" s="5">
        <v>2121</v>
      </c>
      <c r="D23" s="5">
        <v>88.5</v>
      </c>
      <c r="E23">
        <v>0</v>
      </c>
      <c r="F23">
        <v>1</v>
      </c>
      <c r="G23">
        <v>0</v>
      </c>
      <c r="I23" s="8" t="s">
        <v>108</v>
      </c>
      <c r="J23" s="8">
        <v>-4449.1167075909934</v>
      </c>
      <c r="K23" s="8">
        <v>7558.2416738100037</v>
      </c>
      <c r="L23" s="8">
        <v>-0.58864440958637088</v>
      </c>
      <c r="M23" s="8">
        <v>0.55652437706701252</v>
      </c>
      <c r="N23" s="8">
        <v>-19320.501541491169</v>
      </c>
      <c r="O23" s="8">
        <v>10422.268126309184</v>
      </c>
      <c r="P23" s="8">
        <v>-19320.501541491169</v>
      </c>
      <c r="Q23" s="8">
        <v>10422.268126309184</v>
      </c>
    </row>
    <row r="24" spans="1:17" x14ac:dyDescent="0.3">
      <c r="A24" s="5">
        <v>555929.4</v>
      </c>
      <c r="B24" s="5">
        <v>42267.37</v>
      </c>
      <c r="C24" s="5">
        <v>3364</v>
      </c>
      <c r="D24" s="5">
        <v>82</v>
      </c>
      <c r="E24">
        <v>0</v>
      </c>
      <c r="F24">
        <v>1</v>
      </c>
      <c r="G24">
        <v>0</v>
      </c>
    </row>
    <row r="25" spans="1:17" x14ac:dyDescent="0.3">
      <c r="A25" s="5">
        <v>565810.99</v>
      </c>
      <c r="B25" s="5">
        <v>62060.43</v>
      </c>
      <c r="C25" s="5">
        <v>2613</v>
      </c>
      <c r="D25" s="5">
        <v>92.1</v>
      </c>
      <c r="E25">
        <v>0</v>
      </c>
      <c r="F25">
        <v>1</v>
      </c>
      <c r="G25">
        <v>0</v>
      </c>
    </row>
    <row r="26" spans="1:17" x14ac:dyDescent="0.3">
      <c r="A26" s="5">
        <v>811771.14</v>
      </c>
      <c r="B26" s="5">
        <v>57696.69</v>
      </c>
      <c r="C26" s="5">
        <v>10218</v>
      </c>
      <c r="D26" s="5">
        <v>94.8</v>
      </c>
      <c r="E26">
        <v>0</v>
      </c>
      <c r="F26">
        <v>0</v>
      </c>
      <c r="G26">
        <v>1</v>
      </c>
    </row>
    <row r="27" spans="1:17" x14ac:dyDescent="0.3">
      <c r="A27" s="5">
        <v>800451.94</v>
      </c>
      <c r="B27" s="5">
        <v>172415.52</v>
      </c>
      <c r="C27" s="5">
        <v>8927</v>
      </c>
      <c r="D27" s="5">
        <v>86.2</v>
      </c>
      <c r="E27">
        <v>0</v>
      </c>
      <c r="F27">
        <v>0</v>
      </c>
      <c r="G27">
        <v>1</v>
      </c>
    </row>
    <row r="28" spans="1:17" x14ac:dyDescent="0.3">
      <c r="A28" s="5">
        <v>783672.82</v>
      </c>
      <c r="B28" s="5">
        <v>55270.52</v>
      </c>
      <c r="C28" s="5">
        <v>9315</v>
      </c>
      <c r="D28" s="5">
        <v>91.9</v>
      </c>
      <c r="E28">
        <v>0</v>
      </c>
      <c r="F28">
        <v>0</v>
      </c>
      <c r="G28">
        <v>1</v>
      </c>
    </row>
    <row r="29" spans="1:17" x14ac:dyDescent="0.3">
      <c r="A29" s="5">
        <v>701641.97</v>
      </c>
      <c r="B29" s="5">
        <v>52715.1</v>
      </c>
      <c r="C29" s="5">
        <v>7223</v>
      </c>
      <c r="D29" s="5">
        <v>84.2</v>
      </c>
      <c r="E29">
        <v>0</v>
      </c>
      <c r="F29">
        <v>0</v>
      </c>
      <c r="G29">
        <v>1</v>
      </c>
    </row>
    <row r="30" spans="1:17" x14ac:dyDescent="0.3">
      <c r="A30" s="5">
        <v>511844.41</v>
      </c>
      <c r="B30" s="5">
        <v>68600.62</v>
      </c>
      <c r="C30" s="5">
        <v>3988</v>
      </c>
      <c r="D30" s="5">
        <v>85</v>
      </c>
      <c r="E30">
        <v>1</v>
      </c>
      <c r="F30">
        <v>0</v>
      </c>
      <c r="G30">
        <v>0</v>
      </c>
    </row>
    <row r="31" spans="1:17" x14ac:dyDescent="0.3">
      <c r="A31" s="5">
        <v>537383.79</v>
      </c>
      <c r="B31" s="5">
        <v>63176.73</v>
      </c>
      <c r="C31" s="5">
        <v>2390</v>
      </c>
      <c r="D31" s="5">
        <v>87.5</v>
      </c>
      <c r="E31">
        <v>1</v>
      </c>
      <c r="F31">
        <v>0</v>
      </c>
      <c r="G31">
        <v>0</v>
      </c>
    </row>
    <row r="32" spans="1:17" x14ac:dyDescent="0.3">
      <c r="A32" s="5">
        <v>500173.02</v>
      </c>
      <c r="B32" s="5">
        <v>44970.080000000002</v>
      </c>
      <c r="C32" s="5">
        <v>2471</v>
      </c>
      <c r="D32" s="5">
        <v>87.6</v>
      </c>
      <c r="E32">
        <v>1</v>
      </c>
      <c r="F32">
        <v>0</v>
      </c>
      <c r="G32">
        <v>0</v>
      </c>
    </row>
    <row r="33" spans="1:7" x14ac:dyDescent="0.3">
      <c r="A33" s="5">
        <v>427917.38</v>
      </c>
      <c r="B33" s="5">
        <v>69816.350000000006</v>
      </c>
      <c r="C33" s="5">
        <v>971</v>
      </c>
      <c r="D33" s="5">
        <v>89.9</v>
      </c>
      <c r="E33">
        <v>1</v>
      </c>
      <c r="F33">
        <v>0</v>
      </c>
      <c r="G33">
        <v>0</v>
      </c>
    </row>
    <row r="34" spans="1:7" x14ac:dyDescent="0.3">
      <c r="A34" s="5">
        <v>641865.03</v>
      </c>
      <c r="B34" s="5">
        <v>54597.83</v>
      </c>
      <c r="C34" s="5">
        <v>9429</v>
      </c>
      <c r="D34" s="5">
        <v>83.3</v>
      </c>
      <c r="E34">
        <v>0</v>
      </c>
      <c r="F34">
        <v>1</v>
      </c>
      <c r="G34">
        <v>0</v>
      </c>
    </row>
    <row r="35" spans="1:7" x14ac:dyDescent="0.3">
      <c r="A35" s="5">
        <v>799477.76000000001</v>
      </c>
      <c r="B35" s="5">
        <v>73771.91</v>
      </c>
      <c r="C35" s="5">
        <v>11695</v>
      </c>
      <c r="D35" s="5">
        <v>84.7</v>
      </c>
      <c r="E35">
        <v>0</v>
      </c>
      <c r="F35">
        <v>1</v>
      </c>
      <c r="G35">
        <v>0</v>
      </c>
    </row>
    <row r="36" spans="1:7" x14ac:dyDescent="0.3">
      <c r="A36" s="5">
        <v>798952.17</v>
      </c>
      <c r="B36" s="5">
        <v>74413.88</v>
      </c>
      <c r="C36" s="5">
        <v>9449</v>
      </c>
      <c r="D36" s="5">
        <v>92.1</v>
      </c>
      <c r="E36">
        <v>0</v>
      </c>
      <c r="F36">
        <v>1</v>
      </c>
      <c r="G36">
        <v>0</v>
      </c>
    </row>
    <row r="37" spans="1:7" x14ac:dyDescent="0.3">
      <c r="A37" s="5">
        <v>800979.78</v>
      </c>
      <c r="B37" s="5">
        <v>52483.77</v>
      </c>
      <c r="C37" s="5">
        <v>10453</v>
      </c>
      <c r="D37" s="5">
        <v>99</v>
      </c>
      <c r="E37">
        <v>0</v>
      </c>
      <c r="F37">
        <v>1</v>
      </c>
      <c r="G37">
        <v>0</v>
      </c>
    </row>
    <row r="38" spans="1:7" x14ac:dyDescent="0.3">
      <c r="A38" s="5">
        <v>820593.93</v>
      </c>
      <c r="B38" s="5">
        <v>75269.87</v>
      </c>
      <c r="C38" s="5">
        <v>8838</v>
      </c>
      <c r="D38" s="5">
        <v>83.1</v>
      </c>
      <c r="E38">
        <v>0</v>
      </c>
      <c r="F38">
        <v>1</v>
      </c>
      <c r="G38">
        <v>0</v>
      </c>
    </row>
    <row r="39" spans="1:7" x14ac:dyDescent="0.3">
      <c r="A39" s="5">
        <v>718330.53</v>
      </c>
      <c r="B39" s="5">
        <v>61245.41</v>
      </c>
      <c r="C39" s="5">
        <v>8156</v>
      </c>
      <c r="D39" s="5">
        <v>92.9</v>
      </c>
      <c r="E39">
        <v>0</v>
      </c>
      <c r="F39">
        <v>1</v>
      </c>
      <c r="G39">
        <v>0</v>
      </c>
    </row>
    <row r="40" spans="1:7" x14ac:dyDescent="0.3">
      <c r="A40" s="5">
        <v>736633.4</v>
      </c>
      <c r="B40" s="5">
        <v>93381.26</v>
      </c>
      <c r="C40" s="5">
        <v>7562</v>
      </c>
      <c r="D40" s="5">
        <v>82.9</v>
      </c>
      <c r="E40">
        <v>0</v>
      </c>
      <c r="F40">
        <v>1</v>
      </c>
      <c r="G40">
        <v>0</v>
      </c>
    </row>
    <row r="41" spans="1:7" x14ac:dyDescent="0.3">
      <c r="A41" s="5">
        <v>828623.85</v>
      </c>
      <c r="B41" s="5">
        <v>65012.19</v>
      </c>
      <c r="C41" s="5">
        <v>9598</v>
      </c>
      <c r="D41" s="5">
        <v>98.3</v>
      </c>
      <c r="E41">
        <v>0</v>
      </c>
      <c r="F41">
        <v>1</v>
      </c>
      <c r="G41">
        <v>0</v>
      </c>
    </row>
    <row r="42" spans="1:7" x14ac:dyDescent="0.3">
      <c r="A42" s="5">
        <v>592195.85</v>
      </c>
      <c r="B42" s="5">
        <v>40462.94</v>
      </c>
      <c r="C42" s="5">
        <v>3660</v>
      </c>
      <c r="D42" s="5">
        <v>95.2</v>
      </c>
      <c r="E42">
        <v>1</v>
      </c>
      <c r="F42">
        <v>0</v>
      </c>
      <c r="G42">
        <v>0</v>
      </c>
    </row>
    <row r="43" spans="1:7" x14ac:dyDescent="0.3">
      <c r="A43" s="5">
        <v>532644.46</v>
      </c>
      <c r="B43" s="5">
        <v>46123.88</v>
      </c>
      <c r="C43" s="5">
        <v>3227</v>
      </c>
      <c r="D43" s="5">
        <v>75.400000000000006</v>
      </c>
      <c r="E43">
        <v>1</v>
      </c>
      <c r="F43">
        <v>0</v>
      </c>
      <c r="G43">
        <v>0</v>
      </c>
    </row>
    <row r="44" spans="1:7" x14ac:dyDescent="0.3">
      <c r="A44" s="5">
        <v>657429.18000000005</v>
      </c>
      <c r="B44" s="5">
        <v>68077.539999999994</v>
      </c>
      <c r="C44" s="5">
        <v>3360</v>
      </c>
      <c r="D44" s="5">
        <v>88.2</v>
      </c>
      <c r="E44">
        <v>1</v>
      </c>
      <c r="F44">
        <v>0</v>
      </c>
      <c r="G44">
        <v>0</v>
      </c>
    </row>
    <row r="45" spans="1:7" x14ac:dyDescent="0.3">
      <c r="A45" s="5">
        <v>605178</v>
      </c>
      <c r="B45" s="5">
        <v>64882.14</v>
      </c>
      <c r="C45" s="5">
        <v>3642</v>
      </c>
      <c r="D45" s="5">
        <v>87.8</v>
      </c>
      <c r="E45">
        <v>1</v>
      </c>
      <c r="F45">
        <v>0</v>
      </c>
      <c r="G45">
        <v>0</v>
      </c>
    </row>
    <row r="46" spans="1:7" x14ac:dyDescent="0.3">
      <c r="A46" s="5">
        <v>595467.6</v>
      </c>
      <c r="B46" s="5">
        <v>138855.51</v>
      </c>
      <c r="C46" s="5">
        <v>5145</v>
      </c>
      <c r="D46" s="5">
        <v>88.2</v>
      </c>
      <c r="E46">
        <v>0</v>
      </c>
      <c r="F46">
        <v>0</v>
      </c>
      <c r="G46">
        <v>1</v>
      </c>
    </row>
    <row r="47" spans="1:7" x14ac:dyDescent="0.3">
      <c r="A47" s="5">
        <v>599603.4</v>
      </c>
      <c r="B47" s="5">
        <v>63630.21</v>
      </c>
      <c r="C47" s="5">
        <v>4460</v>
      </c>
      <c r="D47" s="5">
        <v>98.6</v>
      </c>
      <c r="E47">
        <v>0</v>
      </c>
      <c r="F47">
        <v>0</v>
      </c>
      <c r="G47">
        <v>1</v>
      </c>
    </row>
    <row r="48" spans="1:7" x14ac:dyDescent="0.3">
      <c r="A48" s="5">
        <v>614800.09</v>
      </c>
      <c r="B48" s="5">
        <v>50043.65</v>
      </c>
      <c r="C48" s="5">
        <v>3804</v>
      </c>
      <c r="D48" s="5">
        <v>90.9</v>
      </c>
      <c r="E48">
        <v>0</v>
      </c>
      <c r="F48">
        <v>0</v>
      </c>
      <c r="G48">
        <v>1</v>
      </c>
    </row>
    <row r="49" spans="1:7" x14ac:dyDescent="0.3">
      <c r="A49" s="5">
        <v>585365.73</v>
      </c>
      <c r="B49" s="5">
        <v>42093.84</v>
      </c>
      <c r="C49" s="5">
        <v>4074</v>
      </c>
      <c r="D49" s="5">
        <v>88</v>
      </c>
      <c r="E49">
        <v>0</v>
      </c>
      <c r="F49">
        <v>0</v>
      </c>
      <c r="G49">
        <v>1</v>
      </c>
    </row>
    <row r="50" spans="1:7" x14ac:dyDescent="0.3">
      <c r="A50" s="5">
        <v>622811.74</v>
      </c>
      <c r="B50" s="5">
        <v>46624.05</v>
      </c>
      <c r="C50" s="5">
        <v>5104</v>
      </c>
      <c r="D50" s="5">
        <v>97.3</v>
      </c>
      <c r="E50">
        <v>0</v>
      </c>
      <c r="F50">
        <v>1</v>
      </c>
      <c r="G50">
        <v>0</v>
      </c>
    </row>
    <row r="51" spans="1:7" x14ac:dyDescent="0.3">
      <c r="A51" s="5">
        <v>603297.56999999995</v>
      </c>
      <c r="B51" s="5">
        <v>49710.29</v>
      </c>
      <c r="C51" s="5">
        <v>5559</v>
      </c>
      <c r="D51" s="5">
        <v>71</v>
      </c>
      <c r="E51">
        <v>0</v>
      </c>
      <c r="F51">
        <v>1</v>
      </c>
      <c r="G51">
        <v>0</v>
      </c>
    </row>
    <row r="52" spans="1:7" x14ac:dyDescent="0.3">
      <c r="A52" s="5">
        <v>625672.86</v>
      </c>
      <c r="B52" s="5">
        <v>48287.85</v>
      </c>
      <c r="C52" s="5">
        <v>5150</v>
      </c>
      <c r="D52" s="5">
        <v>80.400000000000006</v>
      </c>
      <c r="E52">
        <v>0</v>
      </c>
      <c r="F52">
        <v>1</v>
      </c>
      <c r="G52">
        <v>0</v>
      </c>
    </row>
    <row r="53" spans="1:7" x14ac:dyDescent="0.3">
      <c r="A53" s="5">
        <v>773815.14</v>
      </c>
      <c r="B53" s="5">
        <v>65312.49</v>
      </c>
      <c r="C53" s="5">
        <v>7189</v>
      </c>
      <c r="D53" s="5">
        <v>93.7</v>
      </c>
      <c r="E53">
        <v>0</v>
      </c>
      <c r="F53">
        <v>1</v>
      </c>
      <c r="G53">
        <v>0</v>
      </c>
    </row>
    <row r="54" spans="1:7" x14ac:dyDescent="0.3">
      <c r="A54" s="5">
        <v>463534.25</v>
      </c>
      <c r="B54" s="5">
        <v>53015.46</v>
      </c>
      <c r="C54" s="5">
        <v>3279</v>
      </c>
      <c r="D54" s="5">
        <v>84.3</v>
      </c>
      <c r="E54">
        <v>0</v>
      </c>
      <c r="F54">
        <v>0</v>
      </c>
      <c r="G54">
        <v>1</v>
      </c>
    </row>
    <row r="55" spans="1:7" x14ac:dyDescent="0.3">
      <c r="A55" s="5">
        <v>746677.75</v>
      </c>
      <c r="B55" s="5">
        <v>99874.01</v>
      </c>
      <c r="C55" s="5">
        <v>5887</v>
      </c>
      <c r="D55" s="5">
        <v>88.7</v>
      </c>
      <c r="E55">
        <v>0</v>
      </c>
      <c r="F55">
        <v>0</v>
      </c>
      <c r="G55">
        <v>1</v>
      </c>
    </row>
    <row r="56" spans="1:7" x14ac:dyDescent="0.3">
      <c r="A56" s="5">
        <v>720852.5</v>
      </c>
      <c r="B56" s="5">
        <v>81195.5</v>
      </c>
      <c r="C56" s="5">
        <v>5516</v>
      </c>
      <c r="D56" s="5">
        <v>88</v>
      </c>
      <c r="E56">
        <v>0</v>
      </c>
      <c r="F56">
        <v>0</v>
      </c>
      <c r="G56">
        <v>1</v>
      </c>
    </row>
    <row r="57" spans="1:7" x14ac:dyDescent="0.3">
      <c r="A57" s="5">
        <v>487464.91</v>
      </c>
      <c r="B57" s="5">
        <v>27808.6</v>
      </c>
      <c r="C57" s="5">
        <v>2863</v>
      </c>
      <c r="D57" s="5">
        <v>89.3</v>
      </c>
      <c r="E57">
        <v>0</v>
      </c>
      <c r="F57">
        <v>0</v>
      </c>
      <c r="G57">
        <v>1</v>
      </c>
    </row>
    <row r="58" spans="1:7" x14ac:dyDescent="0.3">
      <c r="A58" s="5">
        <v>518049.26</v>
      </c>
      <c r="B58" s="5">
        <v>19365.060000000001</v>
      </c>
      <c r="C58" s="5">
        <v>2378</v>
      </c>
      <c r="D58" s="5">
        <v>94.8</v>
      </c>
      <c r="E58">
        <v>1</v>
      </c>
      <c r="F58">
        <v>0</v>
      </c>
      <c r="G58">
        <v>0</v>
      </c>
    </row>
    <row r="59" spans="1:7" x14ac:dyDescent="0.3">
      <c r="A59" s="5">
        <v>500298.48</v>
      </c>
      <c r="B59" s="5">
        <v>59405.68</v>
      </c>
      <c r="C59" s="5">
        <v>2515</v>
      </c>
      <c r="D59" s="5">
        <v>76</v>
      </c>
      <c r="E59">
        <v>1</v>
      </c>
      <c r="F59">
        <v>0</v>
      </c>
      <c r="G59">
        <v>0</v>
      </c>
    </row>
    <row r="60" spans="1:7" x14ac:dyDescent="0.3">
      <c r="A60" s="5">
        <v>617291.15</v>
      </c>
      <c r="B60" s="5">
        <v>118910.48</v>
      </c>
      <c r="C60" s="5">
        <v>4022</v>
      </c>
      <c r="D60" s="5">
        <v>87.1</v>
      </c>
      <c r="E60">
        <v>1</v>
      </c>
      <c r="F60">
        <v>0</v>
      </c>
      <c r="G60">
        <v>0</v>
      </c>
    </row>
    <row r="61" spans="1:7" x14ac:dyDescent="0.3">
      <c r="A61" s="5">
        <v>553756.43000000005</v>
      </c>
      <c r="B61" s="5">
        <v>52952.12</v>
      </c>
      <c r="C61" s="5">
        <v>4377</v>
      </c>
      <c r="D61" s="5">
        <v>88.6</v>
      </c>
      <c r="E61">
        <v>1</v>
      </c>
      <c r="F61">
        <v>0</v>
      </c>
      <c r="G61">
        <v>0</v>
      </c>
    </row>
    <row r="62" spans="1:7" x14ac:dyDescent="0.3">
      <c r="A62" s="5">
        <v>749559.71</v>
      </c>
      <c r="B62" s="5">
        <v>74907.98</v>
      </c>
      <c r="C62" s="5">
        <v>5306</v>
      </c>
      <c r="D62" s="5">
        <v>95.6</v>
      </c>
      <c r="E62">
        <v>0</v>
      </c>
      <c r="F62">
        <v>0</v>
      </c>
      <c r="G62">
        <v>0</v>
      </c>
    </row>
    <row r="63" spans="1:7" x14ac:dyDescent="0.3">
      <c r="A63" s="5">
        <v>615966.48</v>
      </c>
      <c r="B63" s="5">
        <v>37284.660000000003</v>
      </c>
      <c r="C63" s="5">
        <v>3928</v>
      </c>
      <c r="D63" s="5">
        <v>86.5</v>
      </c>
      <c r="E63">
        <v>0</v>
      </c>
      <c r="F63">
        <v>0</v>
      </c>
      <c r="G63">
        <v>0</v>
      </c>
    </row>
    <row r="64" spans="1:7" x14ac:dyDescent="0.3">
      <c r="A64" s="5">
        <v>572011.19999999995</v>
      </c>
      <c r="B64" s="5">
        <v>50343.19</v>
      </c>
      <c r="C64" s="5">
        <v>3845</v>
      </c>
      <c r="D64" s="5">
        <v>88.7</v>
      </c>
      <c r="E64">
        <v>0</v>
      </c>
      <c r="F64">
        <v>0</v>
      </c>
      <c r="G64">
        <v>0</v>
      </c>
    </row>
    <row r="65" spans="1:7" x14ac:dyDescent="0.3">
      <c r="A65" s="5">
        <v>761860.19</v>
      </c>
      <c r="B65" s="5">
        <v>74954.47</v>
      </c>
      <c r="C65" s="5">
        <v>6620</v>
      </c>
      <c r="D65" s="5">
        <v>91.1</v>
      </c>
      <c r="E65">
        <v>0</v>
      </c>
      <c r="F65">
        <v>0</v>
      </c>
      <c r="G65">
        <v>0</v>
      </c>
    </row>
    <row r="66" spans="1:7" x14ac:dyDescent="0.3">
      <c r="A66" s="5">
        <v>784502.68</v>
      </c>
      <c r="B66" s="5">
        <v>70040.31</v>
      </c>
      <c r="C66" s="5">
        <v>9175</v>
      </c>
      <c r="D66" s="5">
        <v>95.1</v>
      </c>
      <c r="E66">
        <v>0</v>
      </c>
      <c r="F66">
        <v>0</v>
      </c>
      <c r="G66">
        <v>1</v>
      </c>
    </row>
    <row r="67" spans="1:7" x14ac:dyDescent="0.3">
      <c r="A67" s="5">
        <v>717141.55</v>
      </c>
      <c r="B67" s="5">
        <v>51148.69</v>
      </c>
      <c r="C67" s="5">
        <v>7940</v>
      </c>
      <c r="D67" s="5">
        <v>93.3</v>
      </c>
      <c r="E67">
        <v>0</v>
      </c>
      <c r="F67">
        <v>0</v>
      </c>
      <c r="G67">
        <v>1</v>
      </c>
    </row>
    <row r="68" spans="1:7" x14ac:dyDescent="0.3">
      <c r="A68" s="5">
        <v>685379.08</v>
      </c>
      <c r="B68" s="5">
        <v>79346.100000000006</v>
      </c>
      <c r="C68" s="5">
        <v>9628</v>
      </c>
      <c r="D68" s="5">
        <v>99</v>
      </c>
      <c r="E68">
        <v>0</v>
      </c>
      <c r="F68">
        <v>0</v>
      </c>
      <c r="G68">
        <v>1</v>
      </c>
    </row>
    <row r="69" spans="1:7" x14ac:dyDescent="0.3">
      <c r="A69" s="5">
        <v>740496.65</v>
      </c>
      <c r="B69" s="5">
        <v>42018.400000000001</v>
      </c>
      <c r="C69" s="5">
        <v>8296</v>
      </c>
      <c r="D69" s="5">
        <v>91.8</v>
      </c>
      <c r="E69">
        <v>0</v>
      </c>
      <c r="F69">
        <v>0</v>
      </c>
      <c r="G69">
        <v>1</v>
      </c>
    </row>
    <row r="70" spans="1:7" x14ac:dyDescent="0.3">
      <c r="A70" s="5">
        <v>661927.14</v>
      </c>
      <c r="B70" s="5">
        <v>70937.240000000005</v>
      </c>
      <c r="C70" s="5">
        <v>3595</v>
      </c>
      <c r="D70" s="5">
        <v>88.9</v>
      </c>
      <c r="E70">
        <v>1</v>
      </c>
      <c r="F70">
        <v>0</v>
      </c>
      <c r="G70">
        <v>0</v>
      </c>
    </row>
    <row r="71" spans="1:7" x14ac:dyDescent="0.3">
      <c r="A71" s="5">
        <v>479050.5</v>
      </c>
      <c r="B71" s="5">
        <v>36813.449999999997</v>
      </c>
      <c r="C71" s="5">
        <v>2834</v>
      </c>
      <c r="D71" s="5">
        <v>81.8</v>
      </c>
      <c r="E71">
        <v>1</v>
      </c>
      <c r="F71">
        <v>0</v>
      </c>
      <c r="G71">
        <v>0</v>
      </c>
    </row>
    <row r="72" spans="1:7" x14ac:dyDescent="0.3">
      <c r="A72" s="5">
        <v>605023.87</v>
      </c>
      <c r="B72" s="5">
        <v>60571.82</v>
      </c>
      <c r="C72" s="5">
        <v>3193</v>
      </c>
      <c r="D72" s="5">
        <v>99</v>
      </c>
      <c r="E72">
        <v>1</v>
      </c>
      <c r="F72">
        <v>0</v>
      </c>
      <c r="G72">
        <v>0</v>
      </c>
    </row>
    <row r="73" spans="1:7" x14ac:dyDescent="0.3">
      <c r="A73" s="5">
        <v>674774.09</v>
      </c>
      <c r="B73" s="5">
        <v>55081.16</v>
      </c>
      <c r="C73" s="5">
        <v>5485</v>
      </c>
      <c r="D73" s="5">
        <v>88</v>
      </c>
      <c r="E73">
        <v>1</v>
      </c>
      <c r="F73">
        <v>0</v>
      </c>
      <c r="G73">
        <v>0</v>
      </c>
    </row>
    <row r="74" spans="1:7" x14ac:dyDescent="0.3">
      <c r="A74" s="5">
        <v>616069.41</v>
      </c>
      <c r="B74" s="5">
        <v>46201.46</v>
      </c>
      <c r="C74" s="5">
        <v>5918</v>
      </c>
      <c r="D74" s="5">
        <v>78.8</v>
      </c>
      <c r="E74">
        <v>1</v>
      </c>
      <c r="F74">
        <v>0</v>
      </c>
      <c r="G74">
        <v>0</v>
      </c>
    </row>
    <row r="75" spans="1:7" x14ac:dyDescent="0.3">
      <c r="A75" s="5">
        <v>630829.93999999994</v>
      </c>
      <c r="B75" s="5">
        <v>53762.92</v>
      </c>
      <c r="C75" s="5">
        <v>6821</v>
      </c>
      <c r="D75" s="5">
        <v>94.6</v>
      </c>
      <c r="E75">
        <v>1</v>
      </c>
      <c r="F75">
        <v>0</v>
      </c>
      <c r="G75">
        <v>0</v>
      </c>
    </row>
    <row r="76" spans="1:7" x14ac:dyDescent="0.3">
      <c r="A76" s="5">
        <v>788087.68</v>
      </c>
      <c r="B76" s="5">
        <v>70144.78</v>
      </c>
      <c r="C76" s="5">
        <v>6806</v>
      </c>
      <c r="D76" s="5">
        <v>93.1</v>
      </c>
      <c r="E76">
        <v>1</v>
      </c>
      <c r="F76">
        <v>0</v>
      </c>
      <c r="G76">
        <v>0</v>
      </c>
    </row>
    <row r="77" spans="1:7" x14ac:dyDescent="0.3">
      <c r="A77" s="5">
        <v>680840.36</v>
      </c>
      <c r="B77" s="5">
        <v>58749.63</v>
      </c>
      <c r="C77" s="5">
        <v>8252</v>
      </c>
      <c r="D77" s="5">
        <v>85.2</v>
      </c>
      <c r="E77">
        <v>1</v>
      </c>
      <c r="F77">
        <v>0</v>
      </c>
      <c r="G77">
        <v>0</v>
      </c>
    </row>
    <row r="78" spans="1:7" x14ac:dyDescent="0.3">
      <c r="A78" s="5">
        <v>643657.47</v>
      </c>
      <c r="B78" s="5">
        <v>56973.18</v>
      </c>
      <c r="C78" s="5">
        <v>6662</v>
      </c>
      <c r="D78" s="5">
        <v>77.7</v>
      </c>
      <c r="E78">
        <v>0</v>
      </c>
      <c r="F78">
        <v>0</v>
      </c>
      <c r="G78">
        <v>0</v>
      </c>
    </row>
    <row r="79" spans="1:7" x14ac:dyDescent="0.3">
      <c r="A79" s="5">
        <v>691112.6</v>
      </c>
      <c r="B79" s="5">
        <v>54872.82</v>
      </c>
      <c r="C79" s="5">
        <v>5962</v>
      </c>
      <c r="D79" s="5">
        <v>85.4</v>
      </c>
      <c r="E79">
        <v>0</v>
      </c>
      <c r="F79">
        <v>0</v>
      </c>
      <c r="G79">
        <v>0</v>
      </c>
    </row>
    <row r="80" spans="1:7" x14ac:dyDescent="0.3">
      <c r="A80" s="5">
        <v>776922.17</v>
      </c>
      <c r="B80" s="5">
        <v>80562.81</v>
      </c>
      <c r="C80" s="5">
        <v>7470</v>
      </c>
      <c r="D80" s="5">
        <v>83.5</v>
      </c>
      <c r="E80">
        <v>0</v>
      </c>
      <c r="F80">
        <v>0</v>
      </c>
      <c r="G80">
        <v>0</v>
      </c>
    </row>
    <row r="81" spans="1:7" x14ac:dyDescent="0.3">
      <c r="A81" s="5">
        <v>636561.34</v>
      </c>
      <c r="B81" s="5">
        <v>77999.899999999994</v>
      </c>
      <c r="C81" s="5">
        <v>5974</v>
      </c>
      <c r="D81" s="5">
        <v>81.3</v>
      </c>
      <c r="E81">
        <v>0</v>
      </c>
      <c r="F81">
        <v>0</v>
      </c>
      <c r="G81">
        <v>0</v>
      </c>
    </row>
    <row r="82" spans="1:7" x14ac:dyDescent="0.3">
      <c r="A82" s="5">
        <v>621369.57999999996</v>
      </c>
      <c r="B82" s="5">
        <v>60881.01</v>
      </c>
      <c r="C82" s="5">
        <v>5410</v>
      </c>
      <c r="D82" s="5">
        <v>83.9</v>
      </c>
      <c r="E82">
        <v>0</v>
      </c>
      <c r="F82">
        <v>0</v>
      </c>
      <c r="G82">
        <v>1</v>
      </c>
    </row>
    <row r="83" spans="1:7" x14ac:dyDescent="0.3">
      <c r="A83" s="5">
        <v>682208.01</v>
      </c>
      <c r="B83" s="5">
        <v>60628.38</v>
      </c>
      <c r="C83" s="5">
        <v>4451</v>
      </c>
      <c r="D83" s="5">
        <v>89.6</v>
      </c>
      <c r="E83">
        <v>0</v>
      </c>
      <c r="F83">
        <v>0</v>
      </c>
      <c r="G83">
        <v>1</v>
      </c>
    </row>
    <row r="84" spans="1:7" x14ac:dyDescent="0.3">
      <c r="A84" s="5">
        <v>727241.86</v>
      </c>
      <c r="B84" s="5">
        <v>72731.14</v>
      </c>
      <c r="C84" s="5">
        <v>4644</v>
      </c>
      <c r="D84" s="5">
        <v>87.1</v>
      </c>
      <c r="E84">
        <v>0</v>
      </c>
      <c r="F84">
        <v>0</v>
      </c>
      <c r="G84">
        <v>1</v>
      </c>
    </row>
    <row r="85" spans="1:7" x14ac:dyDescent="0.3">
      <c r="A85" s="5">
        <v>569100.78</v>
      </c>
      <c r="B85" s="5">
        <v>36475.71</v>
      </c>
      <c r="C85" s="5">
        <v>3559</v>
      </c>
      <c r="D85" s="5">
        <v>83.6</v>
      </c>
      <c r="E85">
        <v>0</v>
      </c>
      <c r="F85">
        <v>0</v>
      </c>
      <c r="G85">
        <v>1</v>
      </c>
    </row>
    <row r="86" spans="1:7" x14ac:dyDescent="0.3">
      <c r="A86" s="5">
        <v>574436.29</v>
      </c>
      <c r="B86" s="5">
        <v>55388.11</v>
      </c>
      <c r="C86" s="5">
        <v>3091</v>
      </c>
      <c r="D86" s="5">
        <v>85.4</v>
      </c>
      <c r="E86">
        <v>0</v>
      </c>
      <c r="F86">
        <v>0</v>
      </c>
      <c r="G86">
        <v>1</v>
      </c>
    </row>
    <row r="87" spans="1:7" x14ac:dyDescent="0.3">
      <c r="A87" s="5">
        <v>611766.72</v>
      </c>
      <c r="B87" s="5">
        <v>88443.77</v>
      </c>
      <c r="C87" s="5">
        <v>4004</v>
      </c>
      <c r="D87" s="5">
        <v>91.9</v>
      </c>
      <c r="E87">
        <v>0</v>
      </c>
      <c r="F87">
        <v>0</v>
      </c>
      <c r="G87">
        <v>1</v>
      </c>
    </row>
    <row r="88" spans="1:7" x14ac:dyDescent="0.3">
      <c r="A88" s="5">
        <v>614596.31999999995</v>
      </c>
      <c r="B88" s="5">
        <v>78231.91</v>
      </c>
      <c r="C88" s="5">
        <v>3788</v>
      </c>
      <c r="D88" s="5">
        <v>88.5</v>
      </c>
      <c r="E88">
        <v>0</v>
      </c>
      <c r="F88">
        <v>0</v>
      </c>
      <c r="G88">
        <v>1</v>
      </c>
    </row>
    <row r="89" spans="1:7" x14ac:dyDescent="0.3">
      <c r="A89" s="5">
        <v>450711.92</v>
      </c>
      <c r="B89" s="5">
        <v>18996.32</v>
      </c>
      <c r="C89" s="5">
        <v>1260</v>
      </c>
      <c r="D89" s="5">
        <v>86.4</v>
      </c>
      <c r="E89">
        <v>0</v>
      </c>
      <c r="F89">
        <v>0</v>
      </c>
      <c r="G89">
        <v>1</v>
      </c>
    </row>
    <row r="90" spans="1:7" x14ac:dyDescent="0.3">
      <c r="A90" s="5">
        <v>711213.46</v>
      </c>
      <c r="B90" s="5">
        <v>50517.94</v>
      </c>
      <c r="C90" s="5">
        <v>7024</v>
      </c>
      <c r="D90" s="5">
        <v>79.2</v>
      </c>
      <c r="E90">
        <v>0</v>
      </c>
      <c r="F90">
        <v>0</v>
      </c>
      <c r="G90">
        <v>0</v>
      </c>
    </row>
    <row r="91" spans="1:7" x14ac:dyDescent="0.3">
      <c r="A91" s="5">
        <v>627171.9</v>
      </c>
      <c r="B91" s="5">
        <v>141540.29</v>
      </c>
      <c r="C91" s="5">
        <v>5400</v>
      </c>
      <c r="D91" s="5">
        <v>87</v>
      </c>
      <c r="E91">
        <v>0</v>
      </c>
      <c r="F91">
        <v>0</v>
      </c>
      <c r="G91">
        <v>0</v>
      </c>
    </row>
    <row r="92" spans="1:7" x14ac:dyDescent="0.3">
      <c r="A92" s="5">
        <v>739852.58</v>
      </c>
      <c r="B92" s="5">
        <v>82116.19</v>
      </c>
      <c r="C92" s="5">
        <v>5988</v>
      </c>
      <c r="D92" s="5">
        <v>91.8</v>
      </c>
      <c r="E92">
        <v>0</v>
      </c>
      <c r="F92">
        <v>0</v>
      </c>
      <c r="G92">
        <v>0</v>
      </c>
    </row>
    <row r="93" spans="1:7" x14ac:dyDescent="0.3">
      <c r="A93" s="5">
        <v>586307.22</v>
      </c>
      <c r="B93" s="5">
        <v>31207.51</v>
      </c>
      <c r="C93" s="5">
        <v>3701</v>
      </c>
      <c r="D93" s="5">
        <v>84.7</v>
      </c>
      <c r="E93">
        <v>0</v>
      </c>
      <c r="F93">
        <v>0</v>
      </c>
      <c r="G93">
        <v>0</v>
      </c>
    </row>
    <row r="94" spans="1:7" x14ac:dyDescent="0.3">
      <c r="A94" s="5">
        <v>585937.48</v>
      </c>
      <c r="B94" s="5">
        <v>38966.589999999997</v>
      </c>
      <c r="C94" s="5">
        <v>4509</v>
      </c>
      <c r="D94" s="5">
        <v>91.1</v>
      </c>
      <c r="E94">
        <v>0</v>
      </c>
      <c r="F94">
        <v>0</v>
      </c>
      <c r="G94">
        <v>1</v>
      </c>
    </row>
    <row r="95" spans="1:7" x14ac:dyDescent="0.3">
      <c r="A95" s="5">
        <v>753473.55</v>
      </c>
      <c r="B95" s="5">
        <v>67439.3</v>
      </c>
      <c r="C95" s="5">
        <v>6477</v>
      </c>
      <c r="D95" s="5">
        <v>90.9</v>
      </c>
      <c r="E95">
        <v>0</v>
      </c>
      <c r="F95">
        <v>0</v>
      </c>
      <c r="G95">
        <v>1</v>
      </c>
    </row>
    <row r="96" spans="1:7" x14ac:dyDescent="0.3">
      <c r="A96" s="5">
        <v>838250.32</v>
      </c>
      <c r="B96" s="5">
        <v>86421.88</v>
      </c>
      <c r="C96" s="5">
        <v>7970</v>
      </c>
      <c r="D96" s="5">
        <v>91.3</v>
      </c>
      <c r="E96">
        <v>0</v>
      </c>
      <c r="F96">
        <v>0</v>
      </c>
      <c r="G96">
        <v>1</v>
      </c>
    </row>
    <row r="97" spans="1:7" x14ac:dyDescent="0.3">
      <c r="A97" s="5">
        <v>607898.12</v>
      </c>
      <c r="B97" s="5">
        <v>9534.65</v>
      </c>
      <c r="C97" s="5">
        <v>6057</v>
      </c>
      <c r="D97" s="5">
        <v>94.1</v>
      </c>
      <c r="E97">
        <v>0</v>
      </c>
      <c r="F97">
        <v>0</v>
      </c>
      <c r="G97">
        <v>1</v>
      </c>
    </row>
    <row r="98" spans="1:7" x14ac:dyDescent="0.3">
      <c r="A98" s="5">
        <v>691113.62</v>
      </c>
      <c r="B98" s="5">
        <v>61132.07</v>
      </c>
      <c r="C98" s="5">
        <v>6394</v>
      </c>
      <c r="D98" s="5">
        <v>91</v>
      </c>
      <c r="E98">
        <v>0</v>
      </c>
      <c r="F98">
        <v>0</v>
      </c>
      <c r="G98">
        <v>1</v>
      </c>
    </row>
    <row r="99" spans="1:7" x14ac:dyDescent="0.3">
      <c r="A99" s="5">
        <v>735509.4</v>
      </c>
      <c r="B99" s="5">
        <v>78839.39</v>
      </c>
      <c r="C99" s="5">
        <v>5150</v>
      </c>
      <c r="D99" s="5">
        <v>85.8</v>
      </c>
      <c r="E99">
        <v>0</v>
      </c>
      <c r="F99">
        <v>0</v>
      </c>
      <c r="G99">
        <v>1</v>
      </c>
    </row>
    <row r="100" spans="1:7" x14ac:dyDescent="0.3">
      <c r="A100" s="5">
        <v>605775.32999999996</v>
      </c>
      <c r="B100" s="5">
        <v>38752.800000000003</v>
      </c>
      <c r="C100" s="5">
        <v>4712</v>
      </c>
      <c r="D100" s="5">
        <v>89.7</v>
      </c>
      <c r="E100">
        <v>0</v>
      </c>
      <c r="F100">
        <v>0</v>
      </c>
      <c r="G100">
        <v>1</v>
      </c>
    </row>
    <row r="101" spans="1:7" x14ac:dyDescent="0.3">
      <c r="A101" s="5">
        <v>675177.68</v>
      </c>
      <c r="B101" s="5">
        <v>55101.1</v>
      </c>
      <c r="C101" s="5">
        <v>5281</v>
      </c>
      <c r="D101" s="5">
        <v>91</v>
      </c>
      <c r="E101">
        <v>0</v>
      </c>
      <c r="F101">
        <v>0</v>
      </c>
      <c r="G101">
        <v>1</v>
      </c>
    </row>
    <row r="102" spans="1:7" x14ac:dyDescent="0.3">
      <c r="A102" s="5">
        <v>635181.35</v>
      </c>
      <c r="B102" s="5">
        <v>53084.76</v>
      </c>
      <c r="C102" s="5">
        <v>3642</v>
      </c>
      <c r="D102" s="5">
        <v>91.4</v>
      </c>
      <c r="E102">
        <v>1</v>
      </c>
      <c r="F102">
        <v>0</v>
      </c>
      <c r="G102">
        <v>0</v>
      </c>
    </row>
    <row r="103" spans="1:7" x14ac:dyDescent="0.3">
      <c r="A103" s="5">
        <v>586626.93999999994</v>
      </c>
      <c r="B103" s="5">
        <v>63101.59</v>
      </c>
      <c r="C103" s="5">
        <v>4373</v>
      </c>
      <c r="D103" s="5">
        <v>90.4</v>
      </c>
      <c r="E103">
        <v>1</v>
      </c>
      <c r="F103">
        <v>0</v>
      </c>
      <c r="G103">
        <v>0</v>
      </c>
    </row>
    <row r="104" spans="1:7" x14ac:dyDescent="0.3">
      <c r="A104" s="5">
        <v>740102.64</v>
      </c>
      <c r="B104" s="5">
        <v>90084.4</v>
      </c>
      <c r="C104" s="5">
        <v>6832</v>
      </c>
      <c r="D104" s="5">
        <v>80.5</v>
      </c>
      <c r="E104">
        <v>1</v>
      </c>
      <c r="F104">
        <v>0</v>
      </c>
      <c r="G104">
        <v>0</v>
      </c>
    </row>
    <row r="105" spans="1:7" x14ac:dyDescent="0.3">
      <c r="A105" s="5">
        <v>625514.04</v>
      </c>
      <c r="B105" s="5">
        <v>32266.639999999999</v>
      </c>
      <c r="C105" s="5">
        <v>2414</v>
      </c>
      <c r="D105" s="5">
        <v>92.1</v>
      </c>
      <c r="E105">
        <v>1</v>
      </c>
      <c r="F105">
        <v>0</v>
      </c>
      <c r="G105">
        <v>0</v>
      </c>
    </row>
    <row r="106" spans="1:7" x14ac:dyDescent="0.3">
      <c r="A106" s="5">
        <v>727227.2</v>
      </c>
      <c r="B106" s="5">
        <v>57919.07</v>
      </c>
      <c r="C106" s="5">
        <v>7374</v>
      </c>
      <c r="D106" s="5">
        <v>82.3</v>
      </c>
      <c r="E106">
        <v>0</v>
      </c>
      <c r="F106">
        <v>0</v>
      </c>
      <c r="G106">
        <v>1</v>
      </c>
    </row>
    <row r="107" spans="1:7" x14ac:dyDescent="0.3">
      <c r="A107" s="5">
        <v>783797.89</v>
      </c>
      <c r="B107" s="5">
        <v>74679.350000000006</v>
      </c>
      <c r="C107" s="5">
        <v>8739</v>
      </c>
      <c r="D107" s="5">
        <v>91.8</v>
      </c>
      <c r="E107">
        <v>0</v>
      </c>
      <c r="F107">
        <v>0</v>
      </c>
      <c r="G107">
        <v>1</v>
      </c>
    </row>
    <row r="108" spans="1:7" x14ac:dyDescent="0.3">
      <c r="A108" s="5">
        <v>795153.84</v>
      </c>
      <c r="B108" s="5">
        <v>64294.23</v>
      </c>
      <c r="C108" s="5">
        <v>6992</v>
      </c>
      <c r="D108" s="5">
        <v>94.1</v>
      </c>
      <c r="E108">
        <v>0</v>
      </c>
      <c r="F108">
        <v>0</v>
      </c>
      <c r="G108">
        <v>1</v>
      </c>
    </row>
    <row r="109" spans="1:7" x14ac:dyDescent="0.3">
      <c r="A109" s="5">
        <v>665594.93999999994</v>
      </c>
      <c r="B109" s="5">
        <v>31042.03</v>
      </c>
      <c r="C109" s="5">
        <v>7107</v>
      </c>
      <c r="D109" s="5">
        <v>87</v>
      </c>
      <c r="E109">
        <v>0</v>
      </c>
      <c r="F109">
        <v>0</v>
      </c>
      <c r="G109">
        <v>1</v>
      </c>
    </row>
    <row r="110" spans="1:7" x14ac:dyDescent="0.3">
      <c r="A110" s="5">
        <v>709478.39</v>
      </c>
      <c r="B110" s="5">
        <v>75265.02</v>
      </c>
      <c r="C110" s="5">
        <v>6975</v>
      </c>
      <c r="D110" s="5">
        <v>73.8</v>
      </c>
      <c r="E110">
        <v>1</v>
      </c>
      <c r="F110">
        <v>0</v>
      </c>
      <c r="G110">
        <v>0</v>
      </c>
    </row>
    <row r="111" spans="1:7" x14ac:dyDescent="0.3">
      <c r="A111" s="5">
        <v>664162.49</v>
      </c>
      <c r="B111" s="5">
        <v>69411.7</v>
      </c>
      <c r="C111" s="5">
        <v>5493</v>
      </c>
      <c r="D111" s="5">
        <v>86.5</v>
      </c>
      <c r="E111">
        <v>1</v>
      </c>
      <c r="F111">
        <v>0</v>
      </c>
      <c r="G111">
        <v>0</v>
      </c>
    </row>
    <row r="112" spans="1:7" x14ac:dyDescent="0.3">
      <c r="A112" s="5">
        <v>633494.21</v>
      </c>
      <c r="B112" s="5">
        <v>51056.15</v>
      </c>
      <c r="C112" s="5">
        <v>5686</v>
      </c>
      <c r="D112" s="5">
        <v>89.9</v>
      </c>
      <c r="E112">
        <v>1</v>
      </c>
      <c r="F112">
        <v>0</v>
      </c>
      <c r="G112">
        <v>0</v>
      </c>
    </row>
    <row r="113" spans="1:7" x14ac:dyDescent="0.3">
      <c r="A113" s="5">
        <v>713611.16</v>
      </c>
      <c r="B113" s="5">
        <v>52758.01</v>
      </c>
      <c r="C113" s="5">
        <v>4063</v>
      </c>
      <c r="D113" s="5">
        <v>91.7</v>
      </c>
      <c r="E113">
        <v>1</v>
      </c>
      <c r="F113">
        <v>0</v>
      </c>
      <c r="G113">
        <v>0</v>
      </c>
    </row>
    <row r="114" spans="1:7" x14ac:dyDescent="0.3">
      <c r="A114" s="5">
        <v>778397.97</v>
      </c>
      <c r="B114" s="5">
        <v>61426.04</v>
      </c>
      <c r="C114" s="5">
        <v>8966</v>
      </c>
      <c r="D114" s="5">
        <v>76.400000000000006</v>
      </c>
      <c r="E114">
        <v>0</v>
      </c>
      <c r="F114">
        <v>0</v>
      </c>
      <c r="G114">
        <v>1</v>
      </c>
    </row>
    <row r="115" spans="1:7" x14ac:dyDescent="0.3">
      <c r="A115" s="5">
        <v>873380.02</v>
      </c>
      <c r="B115" s="5">
        <v>80176.34</v>
      </c>
      <c r="C115" s="5">
        <v>9489</v>
      </c>
      <c r="D115" s="5">
        <v>94.3</v>
      </c>
      <c r="E115">
        <v>0</v>
      </c>
      <c r="F115">
        <v>0</v>
      </c>
      <c r="G115">
        <v>1</v>
      </c>
    </row>
    <row r="116" spans="1:7" x14ac:dyDescent="0.3">
      <c r="A116" s="5">
        <v>697287.9</v>
      </c>
      <c r="B116" s="5">
        <v>33605.18</v>
      </c>
      <c r="C116" s="5">
        <v>9225</v>
      </c>
      <c r="D116" s="5">
        <v>88.4</v>
      </c>
      <c r="E116">
        <v>0</v>
      </c>
      <c r="F116">
        <v>0</v>
      </c>
      <c r="G116">
        <v>1</v>
      </c>
    </row>
    <row r="117" spans="1:7" x14ac:dyDescent="0.3">
      <c r="A117" s="5">
        <v>718074.79</v>
      </c>
      <c r="B117" s="5">
        <v>25990.54</v>
      </c>
      <c r="C117" s="5">
        <v>9249</v>
      </c>
      <c r="D117" s="5">
        <v>92.5</v>
      </c>
      <c r="E117">
        <v>0</v>
      </c>
      <c r="F117">
        <v>0</v>
      </c>
      <c r="G117">
        <v>1</v>
      </c>
    </row>
    <row r="118" spans="1:7" x14ac:dyDescent="0.3">
      <c r="A118" s="5">
        <v>714942.43</v>
      </c>
      <c r="B118" s="5">
        <v>43685.14</v>
      </c>
      <c r="C118" s="5">
        <v>7821</v>
      </c>
      <c r="D118" s="5">
        <v>91</v>
      </c>
      <c r="E118">
        <v>0</v>
      </c>
      <c r="F118">
        <v>0</v>
      </c>
      <c r="G118">
        <v>1</v>
      </c>
    </row>
    <row r="119" spans="1:7" x14ac:dyDescent="0.3">
      <c r="A119" s="5">
        <v>820519.04</v>
      </c>
      <c r="B119" s="5">
        <v>57360.01</v>
      </c>
      <c r="C119" s="5">
        <v>8434</v>
      </c>
      <c r="D119" s="5">
        <v>84.1</v>
      </c>
      <c r="E119">
        <v>0</v>
      </c>
      <c r="F119">
        <v>0</v>
      </c>
      <c r="G119">
        <v>1</v>
      </c>
    </row>
    <row r="120" spans="1:7" x14ac:dyDescent="0.3">
      <c r="A120" s="5">
        <v>684217.32</v>
      </c>
      <c r="B120" s="5">
        <v>42415.47</v>
      </c>
      <c r="C120" s="5">
        <v>8512</v>
      </c>
      <c r="D120" s="5">
        <v>96.8</v>
      </c>
      <c r="E120">
        <v>0</v>
      </c>
      <c r="F120">
        <v>0</v>
      </c>
      <c r="G120">
        <v>1</v>
      </c>
    </row>
    <row r="121" spans="1:7" x14ac:dyDescent="0.3">
      <c r="A121" s="5">
        <v>735480.19</v>
      </c>
      <c r="B121" s="5">
        <v>54968.98</v>
      </c>
      <c r="C121" s="5">
        <v>7816</v>
      </c>
      <c r="D121" s="5">
        <v>95.7</v>
      </c>
      <c r="E121">
        <v>0</v>
      </c>
      <c r="F121">
        <v>0</v>
      </c>
      <c r="G121">
        <v>1</v>
      </c>
    </row>
    <row r="122" spans="1:7" x14ac:dyDescent="0.3">
      <c r="A122" s="5">
        <v>509484.81</v>
      </c>
      <c r="B122" s="5">
        <v>43896.13</v>
      </c>
      <c r="C122" s="5">
        <v>3853</v>
      </c>
      <c r="D122" s="5">
        <v>83</v>
      </c>
      <c r="E122">
        <v>0</v>
      </c>
      <c r="F122">
        <v>1</v>
      </c>
      <c r="G122">
        <v>0</v>
      </c>
    </row>
    <row r="123" spans="1:7" x14ac:dyDescent="0.3">
      <c r="A123" s="5">
        <v>654317.09</v>
      </c>
      <c r="B123" s="5">
        <v>83044.17</v>
      </c>
      <c r="C123" s="5">
        <v>3694</v>
      </c>
      <c r="D123" s="5">
        <v>89.4</v>
      </c>
      <c r="E123">
        <v>0</v>
      </c>
      <c r="F123">
        <v>1</v>
      </c>
      <c r="G123">
        <v>0</v>
      </c>
    </row>
    <row r="124" spans="1:7" x14ac:dyDescent="0.3">
      <c r="A124" s="5">
        <v>557487.26</v>
      </c>
      <c r="B124" s="5">
        <v>48396.13</v>
      </c>
      <c r="C124" s="5">
        <v>4423</v>
      </c>
      <c r="D124" s="5">
        <v>85.7</v>
      </c>
      <c r="E124">
        <v>0</v>
      </c>
      <c r="F124">
        <v>1</v>
      </c>
      <c r="G124">
        <v>0</v>
      </c>
    </row>
    <row r="125" spans="1:7" x14ac:dyDescent="0.3">
      <c r="A125" s="5">
        <v>441275.42</v>
      </c>
      <c r="B125" s="5">
        <v>19063.48</v>
      </c>
      <c r="C125" s="5">
        <v>1906</v>
      </c>
      <c r="D125" s="5">
        <v>97.8</v>
      </c>
      <c r="E125">
        <v>0</v>
      </c>
      <c r="F125">
        <v>1</v>
      </c>
      <c r="G125">
        <v>0</v>
      </c>
    </row>
    <row r="126" spans="1:7" x14ac:dyDescent="0.3">
      <c r="A126" s="5">
        <v>914544.17</v>
      </c>
      <c r="B126" s="5">
        <v>61541.21</v>
      </c>
      <c r="C126" s="5">
        <v>10396</v>
      </c>
      <c r="D126" s="5">
        <v>88.1</v>
      </c>
      <c r="E126">
        <v>0</v>
      </c>
      <c r="F126">
        <v>0</v>
      </c>
      <c r="G126">
        <v>0</v>
      </c>
    </row>
    <row r="127" spans="1:7" x14ac:dyDescent="0.3">
      <c r="A127" s="5">
        <v>842439.67</v>
      </c>
      <c r="B127" s="5">
        <v>44747</v>
      </c>
      <c r="C127" s="5">
        <v>11076</v>
      </c>
      <c r="D127" s="5">
        <v>98.3</v>
      </c>
      <c r="E127">
        <v>0</v>
      </c>
      <c r="F127">
        <v>0</v>
      </c>
      <c r="G127">
        <v>0</v>
      </c>
    </row>
    <row r="128" spans="1:7" x14ac:dyDescent="0.3">
      <c r="A128" s="5">
        <v>842157.92</v>
      </c>
      <c r="B128" s="5">
        <v>56517.9</v>
      </c>
      <c r="C128" s="5">
        <v>9574</v>
      </c>
      <c r="D128" s="5">
        <v>88.2</v>
      </c>
      <c r="E128">
        <v>0</v>
      </c>
      <c r="F128">
        <v>0</v>
      </c>
      <c r="G128">
        <v>0</v>
      </c>
    </row>
    <row r="129" spans="1:7" x14ac:dyDescent="0.3">
      <c r="A129" s="5">
        <v>697155.3</v>
      </c>
      <c r="B129" s="5">
        <v>37828.5</v>
      </c>
      <c r="C129" s="5">
        <v>8221</v>
      </c>
      <c r="D129" s="5">
        <v>81.5</v>
      </c>
      <c r="E129">
        <v>0</v>
      </c>
      <c r="F129">
        <v>0</v>
      </c>
      <c r="G129">
        <v>0</v>
      </c>
    </row>
    <row r="130" spans="1:7" x14ac:dyDescent="0.3">
      <c r="A130" s="5">
        <v>849018.3</v>
      </c>
      <c r="B130" s="5">
        <v>66250.53</v>
      </c>
      <c r="C130" s="5">
        <v>10618</v>
      </c>
      <c r="D130" s="5">
        <v>88.3</v>
      </c>
      <c r="E130">
        <v>1</v>
      </c>
      <c r="F130">
        <v>0</v>
      </c>
      <c r="G130">
        <v>0</v>
      </c>
    </row>
    <row r="131" spans="1:7" x14ac:dyDescent="0.3">
      <c r="A131" s="5">
        <v>801830.35</v>
      </c>
      <c r="B131" s="5">
        <v>68410.929999999993</v>
      </c>
      <c r="C131" s="5">
        <v>10596</v>
      </c>
      <c r="D131" s="5">
        <v>81.2</v>
      </c>
      <c r="E131">
        <v>1</v>
      </c>
      <c r="F131">
        <v>0</v>
      </c>
      <c r="G131">
        <v>0</v>
      </c>
    </row>
    <row r="132" spans="1:7" x14ac:dyDescent="0.3">
      <c r="A132" s="5">
        <v>725235.28</v>
      </c>
      <c r="B132" s="5">
        <v>50735.63</v>
      </c>
      <c r="C132" s="5">
        <v>9619</v>
      </c>
      <c r="D132" s="5">
        <v>93.8</v>
      </c>
      <c r="E132">
        <v>1</v>
      </c>
      <c r="F132">
        <v>0</v>
      </c>
      <c r="G132">
        <v>0</v>
      </c>
    </row>
    <row r="133" spans="1:7" x14ac:dyDescent="0.3">
      <c r="A133" s="5">
        <v>811452.72</v>
      </c>
      <c r="B133" s="5">
        <v>66455.8</v>
      </c>
      <c r="C133" s="5">
        <v>10836</v>
      </c>
      <c r="D133" s="5">
        <v>85</v>
      </c>
      <c r="E133">
        <v>1</v>
      </c>
      <c r="F133">
        <v>0</v>
      </c>
      <c r="G133">
        <v>0</v>
      </c>
    </row>
    <row r="134" spans="1:7" x14ac:dyDescent="0.3">
      <c r="A134" s="5">
        <v>527300.13</v>
      </c>
      <c r="B134" s="5">
        <v>70276.28</v>
      </c>
      <c r="C134" s="5">
        <v>3043</v>
      </c>
      <c r="D134" s="5">
        <v>87.9</v>
      </c>
      <c r="E134">
        <v>0</v>
      </c>
      <c r="F134">
        <v>1</v>
      </c>
      <c r="G134">
        <v>0</v>
      </c>
    </row>
    <row r="135" spans="1:7" x14ac:dyDescent="0.3">
      <c r="A135" s="5">
        <v>400831.65</v>
      </c>
      <c r="B135" s="5">
        <v>22071.64</v>
      </c>
      <c r="C135" s="5">
        <v>1814</v>
      </c>
      <c r="D135" s="5">
        <v>81.099999999999994</v>
      </c>
      <c r="E135">
        <v>0</v>
      </c>
      <c r="F135">
        <v>1</v>
      </c>
      <c r="G135">
        <v>0</v>
      </c>
    </row>
    <row r="136" spans="1:7" x14ac:dyDescent="0.3">
      <c r="A136" s="5">
        <v>593247.25</v>
      </c>
      <c r="B136" s="5">
        <v>52285.45</v>
      </c>
      <c r="C136" s="5">
        <v>3618</v>
      </c>
      <c r="D136" s="5">
        <v>95.6</v>
      </c>
      <c r="E136">
        <v>0</v>
      </c>
      <c r="F136">
        <v>1</v>
      </c>
      <c r="G136">
        <v>0</v>
      </c>
    </row>
    <row r="137" spans="1:7" x14ac:dyDescent="0.3">
      <c r="A137" s="5">
        <v>529075.94999999995</v>
      </c>
      <c r="B137" s="5">
        <v>70366.759999999995</v>
      </c>
      <c r="C137" s="5">
        <v>1963</v>
      </c>
      <c r="D137" s="5">
        <v>89.8</v>
      </c>
      <c r="E137">
        <v>0</v>
      </c>
      <c r="F137">
        <v>1</v>
      </c>
      <c r="G137">
        <v>0</v>
      </c>
    </row>
    <row r="138" spans="1:7" x14ac:dyDescent="0.3">
      <c r="A138" s="5">
        <v>633638.03</v>
      </c>
      <c r="B138" s="5">
        <v>71320.66</v>
      </c>
      <c r="C138" s="5">
        <v>7888</v>
      </c>
      <c r="D138" s="5">
        <v>78.099999999999994</v>
      </c>
      <c r="E138">
        <v>0</v>
      </c>
      <c r="F138">
        <v>0</v>
      </c>
      <c r="G138">
        <v>0</v>
      </c>
    </row>
    <row r="139" spans="1:7" x14ac:dyDescent="0.3">
      <c r="A139" s="5">
        <v>743348.84</v>
      </c>
      <c r="B139" s="5">
        <v>75109.67</v>
      </c>
      <c r="C139" s="5">
        <v>6244</v>
      </c>
      <c r="D139" s="5">
        <v>96.3</v>
      </c>
      <c r="E139">
        <v>0</v>
      </c>
      <c r="F139">
        <v>0</v>
      </c>
      <c r="G139">
        <v>0</v>
      </c>
    </row>
    <row r="140" spans="1:7" x14ac:dyDescent="0.3">
      <c r="A140" s="5">
        <v>758827.64</v>
      </c>
      <c r="B140" s="5">
        <v>69779</v>
      </c>
      <c r="C140" s="5">
        <v>6544</v>
      </c>
      <c r="D140" s="5">
        <v>90.2</v>
      </c>
      <c r="E140">
        <v>0</v>
      </c>
      <c r="F140">
        <v>0</v>
      </c>
      <c r="G140">
        <v>0</v>
      </c>
    </row>
    <row r="141" spans="1:7" x14ac:dyDescent="0.3">
      <c r="A141" s="5">
        <v>646559.71</v>
      </c>
      <c r="B141" s="5">
        <v>44211.95</v>
      </c>
      <c r="C141" s="5">
        <v>5465</v>
      </c>
      <c r="D141" s="5">
        <v>90</v>
      </c>
      <c r="E141">
        <v>0</v>
      </c>
      <c r="F141">
        <v>0</v>
      </c>
      <c r="G141">
        <v>0</v>
      </c>
    </row>
    <row r="142" spans="1:7" x14ac:dyDescent="0.3">
      <c r="A142" s="5">
        <v>715890.53</v>
      </c>
      <c r="B142" s="5">
        <v>51430.31</v>
      </c>
      <c r="C142" s="5">
        <v>6427</v>
      </c>
      <c r="D142" s="5">
        <v>88.8</v>
      </c>
      <c r="E142">
        <v>0</v>
      </c>
      <c r="F142">
        <v>0</v>
      </c>
      <c r="G142">
        <v>1</v>
      </c>
    </row>
    <row r="143" spans="1:7" x14ac:dyDescent="0.3">
      <c r="A143" s="5">
        <v>715097.57</v>
      </c>
      <c r="B143" s="5">
        <v>45706.49</v>
      </c>
      <c r="C143" s="5">
        <v>6704</v>
      </c>
      <c r="D143" s="5">
        <v>94.2</v>
      </c>
      <c r="E143">
        <v>0</v>
      </c>
      <c r="F143">
        <v>0</v>
      </c>
      <c r="G143">
        <v>1</v>
      </c>
    </row>
    <row r="144" spans="1:7" x14ac:dyDescent="0.3">
      <c r="A144" s="5">
        <v>682639.28</v>
      </c>
      <c r="B144" s="5">
        <v>44034.6</v>
      </c>
      <c r="C144" s="5">
        <v>5645</v>
      </c>
      <c r="D144" s="5">
        <v>88.5</v>
      </c>
      <c r="E144">
        <v>0</v>
      </c>
      <c r="F144">
        <v>0</v>
      </c>
      <c r="G144">
        <v>1</v>
      </c>
    </row>
    <row r="145" spans="1:7" x14ac:dyDescent="0.3">
      <c r="A145" s="5">
        <v>695098.51</v>
      </c>
      <c r="B145" s="5">
        <v>50198.12</v>
      </c>
      <c r="C145" s="5">
        <v>6089</v>
      </c>
      <c r="D145" s="5">
        <v>94</v>
      </c>
      <c r="E145">
        <v>0</v>
      </c>
      <c r="F145">
        <v>0</v>
      </c>
      <c r="G145">
        <v>1</v>
      </c>
    </row>
    <row r="146" spans="1:7" x14ac:dyDescent="0.3">
      <c r="A146" s="5">
        <v>577732.56999999995</v>
      </c>
      <c r="B146" s="5">
        <v>70488.2</v>
      </c>
      <c r="C146" s="5">
        <v>4312</v>
      </c>
      <c r="D146" s="5">
        <v>90.2</v>
      </c>
      <c r="E146">
        <v>0</v>
      </c>
      <c r="F146">
        <v>1</v>
      </c>
      <c r="G146">
        <v>0</v>
      </c>
    </row>
    <row r="147" spans="1:7" x14ac:dyDescent="0.3">
      <c r="A147" s="5">
        <v>537058.32999999996</v>
      </c>
      <c r="B147" s="5">
        <v>50909.27</v>
      </c>
      <c r="C147" s="5">
        <v>3152</v>
      </c>
      <c r="D147" s="5">
        <v>93.7</v>
      </c>
      <c r="E147">
        <v>0</v>
      </c>
      <c r="F147">
        <v>1</v>
      </c>
      <c r="G147">
        <v>0</v>
      </c>
    </row>
    <row r="148" spans="1:7" x14ac:dyDescent="0.3">
      <c r="A148" s="5">
        <v>601568.87</v>
      </c>
      <c r="B148" s="5">
        <v>53351.7</v>
      </c>
      <c r="C148" s="5">
        <v>4259</v>
      </c>
      <c r="D148" s="5">
        <v>93.7</v>
      </c>
      <c r="E148">
        <v>0</v>
      </c>
      <c r="F148">
        <v>1</v>
      </c>
      <c r="G148">
        <v>0</v>
      </c>
    </row>
    <row r="149" spans="1:7" x14ac:dyDescent="0.3">
      <c r="A149" s="5">
        <v>570964.84</v>
      </c>
      <c r="B149" s="5">
        <v>60322.400000000001</v>
      </c>
      <c r="C149" s="5">
        <v>3350</v>
      </c>
      <c r="D149" s="5">
        <v>89.4</v>
      </c>
      <c r="E149">
        <v>0</v>
      </c>
      <c r="F149">
        <v>1</v>
      </c>
      <c r="G149">
        <v>0</v>
      </c>
    </row>
    <row r="150" spans="1:7" x14ac:dyDescent="0.3">
      <c r="A150" s="5">
        <v>614024.91</v>
      </c>
      <c r="B150" s="5">
        <v>51575.68</v>
      </c>
      <c r="C150" s="5">
        <v>5329</v>
      </c>
      <c r="D150" s="5">
        <v>88.1</v>
      </c>
      <c r="E150">
        <v>0</v>
      </c>
      <c r="F150">
        <v>0</v>
      </c>
      <c r="G150">
        <v>0</v>
      </c>
    </row>
    <row r="151" spans="1:7" x14ac:dyDescent="0.3">
      <c r="A151" s="5">
        <v>712868.35</v>
      </c>
      <c r="B151" s="5">
        <v>43319.94</v>
      </c>
      <c r="C151" s="5">
        <v>6551</v>
      </c>
      <c r="D151" s="5">
        <v>99</v>
      </c>
      <c r="E151">
        <v>0</v>
      </c>
      <c r="F151">
        <v>0</v>
      </c>
      <c r="G151">
        <v>0</v>
      </c>
    </row>
    <row r="152" spans="1:7" x14ac:dyDescent="0.3">
      <c r="A152" s="5">
        <v>696744.15</v>
      </c>
      <c r="B152" s="5">
        <v>47093.55</v>
      </c>
      <c r="C152" s="5">
        <v>5550</v>
      </c>
      <c r="D152" s="5">
        <v>95</v>
      </c>
      <c r="E152">
        <v>0</v>
      </c>
      <c r="F152">
        <v>0</v>
      </c>
      <c r="G152">
        <v>0</v>
      </c>
    </row>
    <row r="153" spans="1:7" x14ac:dyDescent="0.3">
      <c r="A153" s="5">
        <v>725847.99</v>
      </c>
      <c r="B153" s="5">
        <v>71855.09</v>
      </c>
      <c r="C153" s="5">
        <v>5911</v>
      </c>
      <c r="D153" s="5">
        <v>94.3</v>
      </c>
      <c r="E153">
        <v>0</v>
      </c>
      <c r="F153">
        <v>0</v>
      </c>
      <c r="G153">
        <v>0</v>
      </c>
    </row>
    <row r="154" spans="1:7" x14ac:dyDescent="0.3">
      <c r="A154" s="5">
        <v>785028.25</v>
      </c>
      <c r="B154" s="5">
        <v>75645.23</v>
      </c>
      <c r="C154" s="5">
        <v>9674</v>
      </c>
      <c r="D154" s="5">
        <v>87.4</v>
      </c>
      <c r="E154">
        <v>1</v>
      </c>
      <c r="F154">
        <v>0</v>
      </c>
      <c r="G154">
        <v>0</v>
      </c>
    </row>
    <row r="155" spans="1:7" x14ac:dyDescent="0.3">
      <c r="A155" s="5">
        <v>698492.67</v>
      </c>
      <c r="B155" s="5">
        <v>64374.75</v>
      </c>
      <c r="C155" s="5">
        <v>6740</v>
      </c>
      <c r="D155" s="5">
        <v>87</v>
      </c>
      <c r="E155">
        <v>1</v>
      </c>
      <c r="F155">
        <v>0</v>
      </c>
      <c r="G155">
        <v>0</v>
      </c>
    </row>
    <row r="156" spans="1:7" x14ac:dyDescent="0.3">
      <c r="A156" s="5">
        <v>685830.24</v>
      </c>
      <c r="B156" s="5">
        <v>61433.84</v>
      </c>
      <c r="C156" s="5">
        <v>7745</v>
      </c>
      <c r="D156" s="5">
        <v>90.5</v>
      </c>
      <c r="E156">
        <v>1</v>
      </c>
      <c r="F156">
        <v>0</v>
      </c>
      <c r="G156">
        <v>0</v>
      </c>
    </row>
    <row r="157" spans="1:7" x14ac:dyDescent="0.3">
      <c r="A157" s="5">
        <v>702318.94</v>
      </c>
      <c r="B157" s="5">
        <v>42698.14</v>
      </c>
      <c r="C157" s="5">
        <v>7693</v>
      </c>
      <c r="D157" s="5">
        <v>90.1</v>
      </c>
      <c r="E157">
        <v>1</v>
      </c>
      <c r="F157">
        <v>0</v>
      </c>
      <c r="G157">
        <v>0</v>
      </c>
    </row>
    <row r="158" spans="1:7" x14ac:dyDescent="0.3">
      <c r="A158" s="5">
        <v>700078.32</v>
      </c>
      <c r="B158" s="5">
        <v>86883.31</v>
      </c>
      <c r="C158" s="5">
        <v>6424</v>
      </c>
      <c r="D158" s="5">
        <v>85.2</v>
      </c>
      <c r="E158">
        <v>0</v>
      </c>
      <c r="F158">
        <v>1</v>
      </c>
      <c r="G158">
        <v>0</v>
      </c>
    </row>
    <row r="159" spans="1:7" x14ac:dyDescent="0.3">
      <c r="A159" s="5">
        <v>602002.31999999995</v>
      </c>
      <c r="B159" s="5">
        <v>41863.08</v>
      </c>
      <c r="C159" s="5">
        <v>5400</v>
      </c>
      <c r="D159" s="5">
        <v>91.6</v>
      </c>
      <c r="E159">
        <v>0</v>
      </c>
      <c r="F159">
        <v>1</v>
      </c>
      <c r="G159">
        <v>0</v>
      </c>
    </row>
    <row r="160" spans="1:7" x14ac:dyDescent="0.3">
      <c r="A160" s="5">
        <v>724216.07</v>
      </c>
      <c r="B160" s="5">
        <v>56918.16</v>
      </c>
      <c r="C160" s="5">
        <v>7015</v>
      </c>
      <c r="D160" s="5">
        <v>74.2</v>
      </c>
      <c r="E160">
        <v>0</v>
      </c>
      <c r="F160">
        <v>1</v>
      </c>
      <c r="G160">
        <v>0</v>
      </c>
    </row>
    <row r="161" spans="1:7" x14ac:dyDescent="0.3">
      <c r="A161" s="5">
        <v>620973.03</v>
      </c>
      <c r="B161" s="5">
        <v>23254.57</v>
      </c>
      <c r="C161" s="5">
        <v>3847</v>
      </c>
      <c r="D161" s="5">
        <v>93</v>
      </c>
      <c r="E161">
        <v>0</v>
      </c>
      <c r="F161">
        <v>1</v>
      </c>
      <c r="G161">
        <v>0</v>
      </c>
    </row>
    <row r="162" spans="1:7" x14ac:dyDescent="0.3">
      <c r="A162" s="5">
        <v>650480.06000000006</v>
      </c>
      <c r="B162" s="5">
        <v>41443.410000000003</v>
      </c>
      <c r="C162" s="5">
        <v>7455</v>
      </c>
      <c r="D162" s="5">
        <v>90.1</v>
      </c>
      <c r="E162">
        <v>0</v>
      </c>
      <c r="F162">
        <v>0</v>
      </c>
      <c r="G162">
        <v>0</v>
      </c>
    </row>
    <row r="163" spans="1:7" x14ac:dyDescent="0.3">
      <c r="A163" s="5">
        <v>778298.88</v>
      </c>
      <c r="B163" s="5">
        <v>48438.85</v>
      </c>
      <c r="C163" s="5">
        <v>6992</v>
      </c>
      <c r="D163" s="5">
        <v>91</v>
      </c>
      <c r="E163">
        <v>0</v>
      </c>
      <c r="F163">
        <v>0</v>
      </c>
      <c r="G163">
        <v>0</v>
      </c>
    </row>
    <row r="164" spans="1:7" x14ac:dyDescent="0.3">
      <c r="A164" s="5">
        <v>677096.71</v>
      </c>
      <c r="B164" s="5">
        <v>57143.3</v>
      </c>
      <c r="C164" s="5">
        <v>8038</v>
      </c>
      <c r="D164" s="5">
        <v>72.599999999999994</v>
      </c>
      <c r="E164">
        <v>0</v>
      </c>
      <c r="F164">
        <v>0</v>
      </c>
      <c r="G164">
        <v>0</v>
      </c>
    </row>
    <row r="165" spans="1:7" x14ac:dyDescent="0.3">
      <c r="A165" s="5">
        <v>692008.64</v>
      </c>
      <c r="B165" s="5">
        <v>66870.62</v>
      </c>
      <c r="C165" s="5">
        <v>6055</v>
      </c>
      <c r="D165" s="5">
        <v>93.8</v>
      </c>
      <c r="E165">
        <v>0</v>
      </c>
      <c r="F165">
        <v>0</v>
      </c>
      <c r="G165">
        <v>0</v>
      </c>
    </row>
    <row r="166" spans="1:7" x14ac:dyDescent="0.3">
      <c r="A166" s="5">
        <v>825797.91</v>
      </c>
      <c r="B166" s="5">
        <v>72150.53</v>
      </c>
      <c r="C166" s="5">
        <v>9323</v>
      </c>
      <c r="D166" s="5">
        <v>82.9</v>
      </c>
      <c r="E166">
        <v>0</v>
      </c>
      <c r="F166">
        <v>1</v>
      </c>
      <c r="G166">
        <v>0</v>
      </c>
    </row>
    <row r="167" spans="1:7" x14ac:dyDescent="0.3">
      <c r="A167" s="5">
        <v>706285.52</v>
      </c>
      <c r="B167" s="5">
        <v>35303.300000000003</v>
      </c>
      <c r="C167" s="5">
        <v>8789</v>
      </c>
      <c r="D167" s="5">
        <v>86.1</v>
      </c>
      <c r="E167">
        <v>0</v>
      </c>
      <c r="F167">
        <v>1</v>
      </c>
      <c r="G167">
        <v>0</v>
      </c>
    </row>
    <row r="168" spans="1:7" x14ac:dyDescent="0.3">
      <c r="A168" s="5">
        <v>665534.69999999995</v>
      </c>
      <c r="B168" s="5">
        <v>30301.86</v>
      </c>
      <c r="C168" s="5">
        <v>6939</v>
      </c>
      <c r="D168" s="5">
        <v>90.3</v>
      </c>
      <c r="E168">
        <v>0</v>
      </c>
      <c r="F168">
        <v>1</v>
      </c>
      <c r="G168">
        <v>0</v>
      </c>
    </row>
    <row r="169" spans="1:7" x14ac:dyDescent="0.3">
      <c r="A169" s="5">
        <v>820729.29</v>
      </c>
      <c r="B169" s="5">
        <v>78432.14</v>
      </c>
      <c r="C169" s="5">
        <v>9440</v>
      </c>
      <c r="D169" s="5">
        <v>89.2</v>
      </c>
      <c r="E169">
        <v>0</v>
      </c>
      <c r="F169">
        <v>1</v>
      </c>
      <c r="G169">
        <v>0</v>
      </c>
    </row>
    <row r="170" spans="1:7" x14ac:dyDescent="0.3">
      <c r="A170" s="5">
        <v>739831.73</v>
      </c>
      <c r="B170" s="5">
        <v>62059.18</v>
      </c>
      <c r="C170" s="5">
        <v>9374</v>
      </c>
      <c r="D170" s="5">
        <v>87.1</v>
      </c>
      <c r="E170">
        <v>1</v>
      </c>
      <c r="F170">
        <v>0</v>
      </c>
      <c r="G170">
        <v>0</v>
      </c>
    </row>
    <row r="171" spans="1:7" x14ac:dyDescent="0.3">
      <c r="A171" s="5">
        <v>593637.14</v>
      </c>
      <c r="B171" s="5">
        <v>32834.480000000003</v>
      </c>
      <c r="C171" s="5">
        <v>7576</v>
      </c>
      <c r="D171" s="5">
        <v>84.1</v>
      </c>
      <c r="E171">
        <v>1</v>
      </c>
      <c r="F171">
        <v>0</v>
      </c>
      <c r="G171">
        <v>0</v>
      </c>
    </row>
    <row r="172" spans="1:7" x14ac:dyDescent="0.3">
      <c r="A172" s="5">
        <v>769702.76</v>
      </c>
      <c r="B172" s="5">
        <v>50825.08</v>
      </c>
      <c r="C172" s="5">
        <v>8949</v>
      </c>
      <c r="D172" s="5">
        <v>84.7</v>
      </c>
      <c r="E172">
        <v>1</v>
      </c>
      <c r="F172">
        <v>0</v>
      </c>
      <c r="G172">
        <v>0</v>
      </c>
    </row>
    <row r="173" spans="1:7" x14ac:dyDescent="0.3">
      <c r="A173" s="5">
        <v>679731.57</v>
      </c>
      <c r="B173" s="5">
        <v>36606.51</v>
      </c>
      <c r="C173" s="5">
        <v>7671</v>
      </c>
      <c r="D173" s="5">
        <v>89.8</v>
      </c>
      <c r="E173">
        <v>1</v>
      </c>
      <c r="F173">
        <v>0</v>
      </c>
      <c r="G173">
        <v>0</v>
      </c>
    </row>
    <row r="174" spans="1:7" x14ac:dyDescent="0.3">
      <c r="A174" s="5">
        <v>780344.18</v>
      </c>
      <c r="B174" s="5">
        <v>65237.79</v>
      </c>
      <c r="C174" s="5">
        <v>8741</v>
      </c>
      <c r="D174" s="5">
        <v>94.4</v>
      </c>
      <c r="E174">
        <v>1</v>
      </c>
      <c r="F174">
        <v>0</v>
      </c>
      <c r="G174">
        <v>0</v>
      </c>
    </row>
    <row r="175" spans="1:7" x14ac:dyDescent="0.3">
      <c r="A175" s="5">
        <v>721364.11</v>
      </c>
      <c r="B175" s="5">
        <v>43645.98</v>
      </c>
      <c r="C175" s="5">
        <v>9480</v>
      </c>
      <c r="D175" s="5">
        <v>89</v>
      </c>
      <c r="E175">
        <v>1</v>
      </c>
      <c r="F175">
        <v>0</v>
      </c>
      <c r="G175">
        <v>0</v>
      </c>
    </row>
    <row r="176" spans="1:7" x14ac:dyDescent="0.3">
      <c r="A176" s="5">
        <v>758138.29</v>
      </c>
      <c r="B176" s="5">
        <v>68040.149999999994</v>
      </c>
      <c r="C176" s="5">
        <v>9826</v>
      </c>
      <c r="D176" s="5">
        <v>83.9</v>
      </c>
      <c r="E176">
        <v>1</v>
      </c>
      <c r="F176">
        <v>0</v>
      </c>
      <c r="G176">
        <v>0</v>
      </c>
    </row>
    <row r="177" spans="1:7" x14ac:dyDescent="0.3">
      <c r="A177" s="5">
        <v>804264</v>
      </c>
      <c r="B177" s="5">
        <v>63043.94</v>
      </c>
      <c r="C177" s="5">
        <v>10402</v>
      </c>
      <c r="D177" s="5">
        <v>93.9</v>
      </c>
      <c r="E177">
        <v>1</v>
      </c>
      <c r="F177">
        <v>0</v>
      </c>
      <c r="G177">
        <v>0</v>
      </c>
    </row>
    <row r="178" spans="1:7" x14ac:dyDescent="0.3">
      <c r="A178" s="5">
        <v>887537.75</v>
      </c>
      <c r="B178" s="5">
        <v>67494.09</v>
      </c>
      <c r="C178" s="5">
        <v>12361</v>
      </c>
      <c r="D178" s="5">
        <v>76.599999999999994</v>
      </c>
      <c r="E178">
        <v>0</v>
      </c>
      <c r="F178">
        <v>0</v>
      </c>
      <c r="G178">
        <v>1</v>
      </c>
    </row>
    <row r="179" spans="1:7" x14ac:dyDescent="0.3">
      <c r="A179" s="5">
        <v>783582</v>
      </c>
      <c r="B179" s="5">
        <v>29389.32</v>
      </c>
      <c r="C179" s="5">
        <v>7925</v>
      </c>
      <c r="D179" s="5">
        <v>90.9</v>
      </c>
      <c r="E179">
        <v>0</v>
      </c>
      <c r="F179">
        <v>0</v>
      </c>
      <c r="G179">
        <v>1</v>
      </c>
    </row>
    <row r="180" spans="1:7" x14ac:dyDescent="0.3">
      <c r="A180" s="5">
        <v>781955.52</v>
      </c>
      <c r="B180" s="5">
        <v>40535.089999999997</v>
      </c>
      <c r="C180" s="5">
        <v>8870</v>
      </c>
      <c r="D180" s="5">
        <v>86.6</v>
      </c>
      <c r="E180">
        <v>0</v>
      </c>
      <c r="F180">
        <v>0</v>
      </c>
      <c r="G180">
        <v>1</v>
      </c>
    </row>
    <row r="181" spans="1:7" x14ac:dyDescent="0.3">
      <c r="A181" s="5">
        <v>898031.04</v>
      </c>
      <c r="B181" s="5">
        <v>74881.56</v>
      </c>
      <c r="C181" s="5">
        <v>9999</v>
      </c>
      <c r="D181" s="5">
        <v>89.6</v>
      </c>
      <c r="E181">
        <v>0</v>
      </c>
      <c r="F181">
        <v>0</v>
      </c>
      <c r="G181">
        <v>1</v>
      </c>
    </row>
    <row r="182" spans="1:7" x14ac:dyDescent="0.3">
      <c r="A182" s="5">
        <v>855341.28</v>
      </c>
      <c r="B182" s="5">
        <v>68491.11</v>
      </c>
      <c r="C182" s="5">
        <v>11154</v>
      </c>
      <c r="D182" s="5">
        <v>89.4</v>
      </c>
      <c r="E182">
        <v>0</v>
      </c>
      <c r="F182">
        <v>0</v>
      </c>
      <c r="G182">
        <v>1</v>
      </c>
    </row>
    <row r="183" spans="1:7" x14ac:dyDescent="0.3">
      <c r="A183" s="5">
        <v>751393.88</v>
      </c>
      <c r="B183" s="5">
        <v>45209.25</v>
      </c>
      <c r="C183" s="5">
        <v>9287</v>
      </c>
      <c r="D183" s="5">
        <v>86.4</v>
      </c>
      <c r="E183">
        <v>0</v>
      </c>
      <c r="F183">
        <v>0</v>
      </c>
      <c r="G183">
        <v>1</v>
      </c>
    </row>
    <row r="184" spans="1:7" x14ac:dyDescent="0.3">
      <c r="A184" s="5">
        <v>761077.08</v>
      </c>
      <c r="B184" s="5">
        <v>63010.23</v>
      </c>
      <c r="C184" s="5">
        <v>9812</v>
      </c>
      <c r="D184" s="5">
        <v>76.8</v>
      </c>
      <c r="E184">
        <v>0</v>
      </c>
      <c r="F184">
        <v>0</v>
      </c>
      <c r="G184">
        <v>1</v>
      </c>
    </row>
    <row r="185" spans="1:7" x14ac:dyDescent="0.3">
      <c r="A185" s="5">
        <v>819660.59</v>
      </c>
      <c r="B185" s="5">
        <v>57948.88</v>
      </c>
      <c r="C185" s="5">
        <v>10741</v>
      </c>
      <c r="D185" s="5">
        <v>90.1</v>
      </c>
      <c r="E185">
        <v>0</v>
      </c>
      <c r="F185">
        <v>0</v>
      </c>
      <c r="G185">
        <v>1</v>
      </c>
    </row>
    <row r="186" spans="1:7" x14ac:dyDescent="0.3">
      <c r="A186" s="5">
        <v>681855.56</v>
      </c>
      <c r="B186" s="5">
        <v>71941.62</v>
      </c>
      <c r="C186" s="5">
        <v>6084</v>
      </c>
      <c r="D186" s="5">
        <v>93.7</v>
      </c>
      <c r="E186">
        <v>0</v>
      </c>
      <c r="F186">
        <v>1</v>
      </c>
      <c r="G186">
        <v>0</v>
      </c>
    </row>
    <row r="187" spans="1:7" x14ac:dyDescent="0.3">
      <c r="A187" s="5">
        <v>678311.17</v>
      </c>
      <c r="B187" s="5">
        <v>57147.88</v>
      </c>
      <c r="C187" s="5">
        <v>5252</v>
      </c>
      <c r="D187" s="5">
        <v>95.5</v>
      </c>
      <c r="E187">
        <v>0</v>
      </c>
      <c r="F187">
        <v>1</v>
      </c>
      <c r="G187">
        <v>0</v>
      </c>
    </row>
    <row r="188" spans="1:7" x14ac:dyDescent="0.3">
      <c r="A188" s="5">
        <v>765906.95</v>
      </c>
      <c r="B188" s="5">
        <v>48031.74</v>
      </c>
      <c r="C188" s="5">
        <v>6516</v>
      </c>
      <c r="D188" s="5">
        <v>99</v>
      </c>
      <c r="E188">
        <v>0</v>
      </c>
      <c r="F188">
        <v>1</v>
      </c>
      <c r="G188">
        <v>0</v>
      </c>
    </row>
    <row r="189" spans="1:7" x14ac:dyDescent="0.3">
      <c r="A189" s="5">
        <v>712546.38</v>
      </c>
      <c r="B189" s="5">
        <v>72784.800000000003</v>
      </c>
      <c r="C189" s="5">
        <v>7932</v>
      </c>
      <c r="D189" s="5">
        <v>74.900000000000006</v>
      </c>
      <c r="E189">
        <v>0</v>
      </c>
      <c r="F189">
        <v>1</v>
      </c>
      <c r="G189">
        <v>0</v>
      </c>
    </row>
    <row r="190" spans="1:7" x14ac:dyDescent="0.3">
      <c r="A190" s="5">
        <v>625993.82999999996</v>
      </c>
      <c r="B190" s="5">
        <v>71641.899999999994</v>
      </c>
      <c r="C190" s="5">
        <v>3506</v>
      </c>
      <c r="D190" s="5">
        <v>86.4</v>
      </c>
      <c r="E190">
        <v>1</v>
      </c>
      <c r="F190">
        <v>0</v>
      </c>
      <c r="G190">
        <v>0</v>
      </c>
    </row>
    <row r="191" spans="1:7" x14ac:dyDescent="0.3">
      <c r="A191" s="5">
        <v>550962.93000000005</v>
      </c>
      <c r="B191" s="5">
        <v>55788.61</v>
      </c>
      <c r="C191" s="5">
        <v>2312</v>
      </c>
      <c r="D191" s="5">
        <v>91.3</v>
      </c>
      <c r="E191">
        <v>1</v>
      </c>
      <c r="F191">
        <v>0</v>
      </c>
      <c r="G191">
        <v>0</v>
      </c>
    </row>
    <row r="192" spans="1:7" x14ac:dyDescent="0.3">
      <c r="A192" s="5">
        <v>443275.59</v>
      </c>
      <c r="B192" s="5">
        <v>37705.879999999997</v>
      </c>
      <c r="C192" s="5">
        <v>1268</v>
      </c>
      <c r="D192" s="5">
        <v>84.1</v>
      </c>
      <c r="E192">
        <v>1</v>
      </c>
      <c r="F192">
        <v>0</v>
      </c>
      <c r="G192">
        <v>0</v>
      </c>
    </row>
    <row r="193" spans="1:7" x14ac:dyDescent="0.3">
      <c r="A193" s="5">
        <v>554012.06999999995</v>
      </c>
      <c r="B193" s="5">
        <v>54966.18</v>
      </c>
      <c r="C193" s="5">
        <v>4423</v>
      </c>
      <c r="D193" s="5">
        <v>88.7</v>
      </c>
      <c r="E193">
        <v>1</v>
      </c>
      <c r="F193">
        <v>0</v>
      </c>
      <c r="G193">
        <v>0</v>
      </c>
    </row>
    <row r="194" spans="1:7" x14ac:dyDescent="0.3">
      <c r="A194" s="5">
        <v>643428.85</v>
      </c>
      <c r="B194" s="5">
        <v>81796.740000000005</v>
      </c>
      <c r="C194" s="5">
        <v>6177</v>
      </c>
      <c r="D194" s="5">
        <v>87.9</v>
      </c>
      <c r="E194">
        <v>0</v>
      </c>
      <c r="F194">
        <v>0</v>
      </c>
      <c r="G194">
        <v>1</v>
      </c>
    </row>
    <row r="195" spans="1:7" x14ac:dyDescent="0.3">
      <c r="A195" s="5">
        <v>611924.27</v>
      </c>
      <c r="B195" s="5">
        <v>51133.43</v>
      </c>
      <c r="C195" s="5">
        <v>5150</v>
      </c>
      <c r="D195" s="5">
        <v>88.5</v>
      </c>
      <c r="E195">
        <v>0</v>
      </c>
      <c r="F195">
        <v>0</v>
      </c>
      <c r="G195">
        <v>1</v>
      </c>
    </row>
    <row r="196" spans="1:7" x14ac:dyDescent="0.3">
      <c r="A196" s="5">
        <v>559422.02</v>
      </c>
      <c r="B196" s="5">
        <v>40220.18</v>
      </c>
      <c r="C196" s="5">
        <v>3783</v>
      </c>
      <c r="D196" s="5">
        <v>86.6</v>
      </c>
      <c r="E196">
        <v>0</v>
      </c>
      <c r="F196">
        <v>0</v>
      </c>
      <c r="G196">
        <v>1</v>
      </c>
    </row>
    <row r="197" spans="1:7" x14ac:dyDescent="0.3">
      <c r="A197" s="5">
        <v>449465.06</v>
      </c>
      <c r="B197" s="5">
        <v>41657.64</v>
      </c>
      <c r="C197" s="5">
        <v>3135</v>
      </c>
      <c r="D197" s="5">
        <v>85.4</v>
      </c>
      <c r="E197">
        <v>0</v>
      </c>
      <c r="F197">
        <v>0</v>
      </c>
      <c r="G197">
        <v>1</v>
      </c>
    </row>
    <row r="198" spans="1:7" x14ac:dyDescent="0.3">
      <c r="A198" s="5">
        <v>691447.43</v>
      </c>
      <c r="B198" s="5">
        <v>71851.45</v>
      </c>
      <c r="C198" s="5">
        <v>4970</v>
      </c>
      <c r="D198" s="5">
        <v>89.6</v>
      </c>
      <c r="E198">
        <v>0</v>
      </c>
      <c r="F198">
        <v>1</v>
      </c>
      <c r="G198">
        <v>0</v>
      </c>
    </row>
    <row r="199" spans="1:7" x14ac:dyDescent="0.3">
      <c r="A199" s="5">
        <v>574066.61</v>
      </c>
      <c r="B199" s="5">
        <v>54002.83</v>
      </c>
      <c r="C199" s="5">
        <v>4366</v>
      </c>
      <c r="D199" s="5">
        <v>90.6</v>
      </c>
      <c r="E199">
        <v>0</v>
      </c>
      <c r="F199">
        <v>1</v>
      </c>
      <c r="G199">
        <v>0</v>
      </c>
    </row>
    <row r="200" spans="1:7" x14ac:dyDescent="0.3">
      <c r="A200" s="5">
        <v>578949.84</v>
      </c>
      <c r="B200" s="5">
        <v>54479.33</v>
      </c>
      <c r="C200" s="5">
        <v>5012</v>
      </c>
      <c r="D200" s="5">
        <v>86</v>
      </c>
      <c r="E200">
        <v>0</v>
      </c>
      <c r="F200">
        <v>1</v>
      </c>
      <c r="G200">
        <v>0</v>
      </c>
    </row>
    <row r="201" spans="1:7" x14ac:dyDescent="0.3">
      <c r="A201" s="5">
        <v>735786.64</v>
      </c>
      <c r="B201" s="5">
        <v>61391.8</v>
      </c>
      <c r="C201" s="5">
        <v>5575</v>
      </c>
      <c r="D201" s="5">
        <v>90</v>
      </c>
      <c r="E201">
        <v>0</v>
      </c>
      <c r="F201">
        <v>1</v>
      </c>
      <c r="G201">
        <v>0</v>
      </c>
    </row>
    <row r="202" spans="1:7" x14ac:dyDescent="0.3">
      <c r="A202" s="5">
        <v>598904.9</v>
      </c>
      <c r="B202" s="5">
        <v>22312.93</v>
      </c>
      <c r="C202" s="5">
        <v>5955</v>
      </c>
      <c r="D202" s="5">
        <v>84.2</v>
      </c>
      <c r="E202">
        <v>1</v>
      </c>
      <c r="F202">
        <v>0</v>
      </c>
      <c r="G202">
        <v>0</v>
      </c>
    </row>
    <row r="203" spans="1:7" x14ac:dyDescent="0.3">
      <c r="A203" s="5">
        <v>787715.51</v>
      </c>
      <c r="B203" s="5">
        <v>78111.97</v>
      </c>
      <c r="C203" s="5">
        <v>6389</v>
      </c>
      <c r="D203" s="5">
        <v>83.9</v>
      </c>
      <c r="E203">
        <v>1</v>
      </c>
      <c r="F203">
        <v>0</v>
      </c>
      <c r="G203">
        <v>0</v>
      </c>
    </row>
    <row r="204" spans="1:7" x14ac:dyDescent="0.3">
      <c r="A204" s="5">
        <v>607084.92000000004</v>
      </c>
      <c r="B204" s="5">
        <v>35203.230000000003</v>
      </c>
      <c r="C204" s="5">
        <v>6896</v>
      </c>
      <c r="D204" s="5">
        <v>80.8</v>
      </c>
      <c r="E204">
        <v>1</v>
      </c>
      <c r="F204">
        <v>0</v>
      </c>
      <c r="G204">
        <v>0</v>
      </c>
    </row>
    <row r="205" spans="1:7" x14ac:dyDescent="0.3">
      <c r="A205" s="5">
        <v>650795.49</v>
      </c>
      <c r="B205" s="5">
        <v>64104.28</v>
      </c>
      <c r="C205" s="5">
        <v>6015</v>
      </c>
      <c r="D205" s="5">
        <v>88.7</v>
      </c>
      <c r="E205">
        <v>1</v>
      </c>
      <c r="F205">
        <v>0</v>
      </c>
      <c r="G205">
        <v>0</v>
      </c>
    </row>
    <row r="206" spans="1:7" x14ac:dyDescent="0.3">
      <c r="A206" s="5">
        <v>825060.52</v>
      </c>
      <c r="B206" s="5">
        <v>92090.14</v>
      </c>
      <c r="C206" s="5">
        <v>9476</v>
      </c>
      <c r="D206" s="5">
        <v>94.3</v>
      </c>
      <c r="E206">
        <v>1</v>
      </c>
      <c r="F206">
        <v>0</v>
      </c>
      <c r="G206">
        <v>0</v>
      </c>
    </row>
    <row r="207" spans="1:7" x14ac:dyDescent="0.3">
      <c r="A207" s="5">
        <v>795464.47</v>
      </c>
      <c r="B207" s="5">
        <v>54300.87</v>
      </c>
      <c r="C207" s="5">
        <v>7875</v>
      </c>
      <c r="D207" s="5">
        <v>94.1</v>
      </c>
      <c r="E207">
        <v>1</v>
      </c>
      <c r="F207">
        <v>0</v>
      </c>
      <c r="G207">
        <v>0</v>
      </c>
    </row>
    <row r="208" spans="1:7" x14ac:dyDescent="0.3">
      <c r="A208" s="5">
        <v>671868.59</v>
      </c>
      <c r="B208" s="5">
        <v>37983.35</v>
      </c>
      <c r="C208" s="5">
        <v>9283</v>
      </c>
      <c r="D208" s="5">
        <v>83.2</v>
      </c>
      <c r="E208">
        <v>1</v>
      </c>
      <c r="F208">
        <v>0</v>
      </c>
      <c r="G208">
        <v>0</v>
      </c>
    </row>
    <row r="209" spans="1:7" x14ac:dyDescent="0.3">
      <c r="A209" s="5">
        <v>675917.63</v>
      </c>
      <c r="B209" s="5">
        <v>56413.83</v>
      </c>
      <c r="C209" s="5">
        <v>8303</v>
      </c>
      <c r="D209" s="5">
        <v>93.6</v>
      </c>
      <c r="E209">
        <v>1</v>
      </c>
      <c r="F209">
        <v>0</v>
      </c>
      <c r="G209">
        <v>0</v>
      </c>
    </row>
    <row r="210" spans="1:7" x14ac:dyDescent="0.3">
      <c r="A210" s="5">
        <v>810446.53</v>
      </c>
      <c r="B210" s="5">
        <v>63457.19</v>
      </c>
      <c r="C210" s="5">
        <v>10125</v>
      </c>
      <c r="D210" s="5">
        <v>87</v>
      </c>
      <c r="E210">
        <v>1</v>
      </c>
      <c r="F210">
        <v>0</v>
      </c>
      <c r="G210">
        <v>0</v>
      </c>
    </row>
    <row r="211" spans="1:7" x14ac:dyDescent="0.3">
      <c r="A211" s="5">
        <v>691288.19</v>
      </c>
      <c r="B211" s="5">
        <v>62949.7</v>
      </c>
      <c r="C211" s="5">
        <v>9458</v>
      </c>
      <c r="D211" s="5">
        <v>84.9</v>
      </c>
      <c r="E211">
        <v>1</v>
      </c>
      <c r="F211">
        <v>0</v>
      </c>
      <c r="G211">
        <v>0</v>
      </c>
    </row>
    <row r="212" spans="1:7" x14ac:dyDescent="0.3">
      <c r="A212" s="5">
        <v>946833.54</v>
      </c>
      <c r="B212" s="5">
        <v>107970.19</v>
      </c>
      <c r="C212" s="5">
        <v>12870</v>
      </c>
      <c r="D212" s="5">
        <v>91.7</v>
      </c>
      <c r="E212">
        <v>1</v>
      </c>
      <c r="F212">
        <v>0</v>
      </c>
      <c r="G212">
        <v>0</v>
      </c>
    </row>
    <row r="213" spans="1:7" x14ac:dyDescent="0.3">
      <c r="A213" s="5">
        <v>761963.23</v>
      </c>
      <c r="B213" s="5">
        <v>49405.75</v>
      </c>
      <c r="C213" s="5">
        <v>9752</v>
      </c>
      <c r="D213" s="5">
        <v>87</v>
      </c>
      <c r="E213">
        <v>1</v>
      </c>
      <c r="F213">
        <v>0</v>
      </c>
      <c r="G213">
        <v>0</v>
      </c>
    </row>
    <row r="214" spans="1:7" x14ac:dyDescent="0.3">
      <c r="A214" s="5">
        <v>812152.6</v>
      </c>
      <c r="B214" s="5">
        <v>50887.46</v>
      </c>
      <c r="C214" s="5">
        <v>9505</v>
      </c>
      <c r="D214" s="5">
        <v>89.7</v>
      </c>
      <c r="E214">
        <v>0</v>
      </c>
      <c r="F214">
        <v>0</v>
      </c>
      <c r="G214">
        <v>1</v>
      </c>
    </row>
    <row r="215" spans="1:7" x14ac:dyDescent="0.3">
      <c r="A215" s="5">
        <v>804975.5</v>
      </c>
      <c r="B215" s="5">
        <v>41819.449999999997</v>
      </c>
      <c r="C215" s="5">
        <v>9412</v>
      </c>
      <c r="D215" s="5">
        <v>91</v>
      </c>
      <c r="E215">
        <v>0</v>
      </c>
      <c r="F215">
        <v>0</v>
      </c>
      <c r="G215">
        <v>1</v>
      </c>
    </row>
    <row r="216" spans="1:7" x14ac:dyDescent="0.3">
      <c r="A216" s="5">
        <v>752321.72</v>
      </c>
      <c r="B216" s="5">
        <v>35296.54</v>
      </c>
      <c r="C216" s="5">
        <v>9644</v>
      </c>
      <c r="D216" s="5">
        <v>88</v>
      </c>
      <c r="E216">
        <v>0</v>
      </c>
      <c r="F216">
        <v>0</v>
      </c>
      <c r="G216">
        <v>1</v>
      </c>
    </row>
    <row r="217" spans="1:7" x14ac:dyDescent="0.3">
      <c r="A217" s="5">
        <v>836908.24</v>
      </c>
      <c r="B217" s="5">
        <v>47391.09</v>
      </c>
      <c r="C217" s="5">
        <v>11224</v>
      </c>
      <c r="D217" s="5">
        <v>88.4</v>
      </c>
      <c r="E217">
        <v>0</v>
      </c>
      <c r="F217">
        <v>0</v>
      </c>
      <c r="G217">
        <v>1</v>
      </c>
    </row>
    <row r="218" spans="1:7" x14ac:dyDescent="0.3">
      <c r="A218" s="5">
        <v>674289.1</v>
      </c>
      <c r="B218" s="5">
        <v>69180.539999999994</v>
      </c>
      <c r="C218" s="5">
        <v>5394</v>
      </c>
      <c r="D218" s="5">
        <v>82.9</v>
      </c>
      <c r="E218">
        <v>0</v>
      </c>
      <c r="F218">
        <v>1</v>
      </c>
      <c r="G218">
        <v>0</v>
      </c>
    </row>
    <row r="219" spans="1:7" x14ac:dyDescent="0.3">
      <c r="A219" s="5">
        <v>622892.42000000004</v>
      </c>
      <c r="B219" s="5">
        <v>33987.33</v>
      </c>
      <c r="C219" s="5">
        <v>5014</v>
      </c>
      <c r="D219" s="5">
        <v>94.3</v>
      </c>
      <c r="E219">
        <v>0</v>
      </c>
      <c r="F219">
        <v>1</v>
      </c>
      <c r="G219">
        <v>0</v>
      </c>
    </row>
    <row r="220" spans="1:7" x14ac:dyDescent="0.3">
      <c r="A220" s="5">
        <v>673348.56</v>
      </c>
      <c r="B220" s="5">
        <v>58785.33</v>
      </c>
      <c r="C220" s="5">
        <v>4467</v>
      </c>
      <c r="D220" s="5">
        <v>90.7</v>
      </c>
      <c r="E220">
        <v>0</v>
      </c>
      <c r="F220">
        <v>1</v>
      </c>
      <c r="G220">
        <v>0</v>
      </c>
    </row>
    <row r="221" spans="1:7" x14ac:dyDescent="0.3">
      <c r="A221" s="5">
        <v>606278.30000000005</v>
      </c>
      <c r="B221" s="5">
        <v>16451.849999999999</v>
      </c>
      <c r="C221" s="5">
        <v>4678</v>
      </c>
      <c r="D221" s="5">
        <v>95.9</v>
      </c>
      <c r="E221">
        <v>0</v>
      </c>
      <c r="F221">
        <v>1</v>
      </c>
      <c r="G221">
        <v>0</v>
      </c>
    </row>
    <row r="222" spans="1:7" x14ac:dyDescent="0.3">
      <c r="A222" s="5">
        <v>712219.81</v>
      </c>
      <c r="B222" s="5">
        <v>53367.73</v>
      </c>
      <c r="C222" s="5">
        <v>7291</v>
      </c>
      <c r="D222" s="5">
        <v>90.6</v>
      </c>
      <c r="E222">
        <v>1</v>
      </c>
      <c r="F222">
        <v>0</v>
      </c>
      <c r="G222">
        <v>0</v>
      </c>
    </row>
    <row r="223" spans="1:7" x14ac:dyDescent="0.3">
      <c r="A223" s="5">
        <v>672670.54</v>
      </c>
      <c r="B223" s="5">
        <v>27194.639999999999</v>
      </c>
      <c r="C223" s="5">
        <v>7404</v>
      </c>
      <c r="D223" s="5">
        <v>90.2</v>
      </c>
      <c r="E223">
        <v>1</v>
      </c>
      <c r="F223">
        <v>0</v>
      </c>
      <c r="G223">
        <v>0</v>
      </c>
    </row>
    <row r="224" spans="1:7" x14ac:dyDescent="0.3">
      <c r="A224" s="5">
        <v>732667.92</v>
      </c>
      <c r="B224" s="5">
        <v>66962.740000000005</v>
      </c>
      <c r="C224" s="5">
        <v>7880</v>
      </c>
      <c r="D224" s="5">
        <v>90.4</v>
      </c>
      <c r="E224">
        <v>1</v>
      </c>
      <c r="F224">
        <v>0</v>
      </c>
      <c r="G224">
        <v>0</v>
      </c>
    </row>
    <row r="225" spans="1:7" x14ac:dyDescent="0.3">
      <c r="A225" s="5">
        <v>723531.4</v>
      </c>
      <c r="B225" s="5">
        <v>73540.990000000005</v>
      </c>
      <c r="C225" s="5">
        <v>8773</v>
      </c>
      <c r="D225" s="5">
        <v>84.4</v>
      </c>
      <c r="E225">
        <v>1</v>
      </c>
      <c r="F225">
        <v>0</v>
      </c>
      <c r="G225">
        <v>0</v>
      </c>
    </row>
    <row r="226" spans="1:7" x14ac:dyDescent="0.3">
      <c r="A226" s="5">
        <v>641564.6</v>
      </c>
      <c r="B226" s="5">
        <v>68212.289999999994</v>
      </c>
      <c r="C226" s="5">
        <v>4713</v>
      </c>
      <c r="D226" s="5">
        <v>82.6</v>
      </c>
      <c r="E226">
        <v>1</v>
      </c>
      <c r="F226">
        <v>0</v>
      </c>
      <c r="G226">
        <v>0</v>
      </c>
    </row>
    <row r="227" spans="1:7" x14ac:dyDescent="0.3">
      <c r="A227" s="5">
        <v>536545.49</v>
      </c>
      <c r="B227" s="5">
        <v>57225.98</v>
      </c>
      <c r="C227" s="5">
        <v>2842</v>
      </c>
      <c r="D227" s="5">
        <v>79.5</v>
      </c>
      <c r="E227">
        <v>1</v>
      </c>
      <c r="F227">
        <v>0</v>
      </c>
      <c r="G227">
        <v>0</v>
      </c>
    </row>
    <row r="228" spans="1:7" x14ac:dyDescent="0.3">
      <c r="A228" s="5">
        <v>527681.56000000006</v>
      </c>
      <c r="B228" s="5">
        <v>42932.02</v>
      </c>
      <c r="C228" s="5">
        <v>3872</v>
      </c>
      <c r="D228" s="5">
        <v>83.2</v>
      </c>
      <c r="E228">
        <v>1</v>
      </c>
      <c r="F228">
        <v>0</v>
      </c>
      <c r="G228">
        <v>0</v>
      </c>
    </row>
    <row r="229" spans="1:7" x14ac:dyDescent="0.3">
      <c r="A229" s="5">
        <v>529598.93999999994</v>
      </c>
      <c r="B229" s="5">
        <v>39341.449999999997</v>
      </c>
      <c r="C229" s="5">
        <v>1375</v>
      </c>
      <c r="D229" s="5">
        <v>95</v>
      </c>
      <c r="E229">
        <v>1</v>
      </c>
      <c r="F229">
        <v>0</v>
      </c>
      <c r="G229">
        <v>0</v>
      </c>
    </row>
    <row r="230" spans="1:7" x14ac:dyDescent="0.3">
      <c r="A230" s="5">
        <v>570963.31000000006</v>
      </c>
      <c r="B230" s="5">
        <v>37324.230000000003</v>
      </c>
      <c r="C230" s="5">
        <v>5957</v>
      </c>
      <c r="D230" s="5">
        <v>85.9</v>
      </c>
      <c r="E230">
        <v>1</v>
      </c>
      <c r="F230">
        <v>0</v>
      </c>
      <c r="G230">
        <v>0</v>
      </c>
    </row>
    <row r="231" spans="1:7" x14ac:dyDescent="0.3">
      <c r="A231" s="5">
        <v>870937.4</v>
      </c>
      <c r="B231" s="5">
        <v>113736</v>
      </c>
      <c r="C231" s="5">
        <v>8961</v>
      </c>
      <c r="D231" s="5">
        <v>86.2</v>
      </c>
      <c r="E231">
        <v>1</v>
      </c>
      <c r="F231">
        <v>0</v>
      </c>
      <c r="G231">
        <v>0</v>
      </c>
    </row>
    <row r="232" spans="1:7" x14ac:dyDescent="0.3">
      <c r="A232" s="5">
        <v>596969.27</v>
      </c>
      <c r="B232" s="5">
        <v>33173.949999999997</v>
      </c>
      <c r="C232" s="5">
        <v>6545</v>
      </c>
      <c r="D232" s="5">
        <v>84.4</v>
      </c>
      <c r="E232">
        <v>1</v>
      </c>
      <c r="F232">
        <v>0</v>
      </c>
      <c r="G232">
        <v>0</v>
      </c>
    </row>
    <row r="233" spans="1:7" x14ac:dyDescent="0.3">
      <c r="A233" s="5">
        <v>647512.85</v>
      </c>
      <c r="B233" s="5">
        <v>25818.080000000002</v>
      </c>
      <c r="C233" s="5">
        <v>5457</v>
      </c>
      <c r="D233" s="5">
        <v>95.4</v>
      </c>
      <c r="E233">
        <v>1</v>
      </c>
      <c r="F233">
        <v>0</v>
      </c>
      <c r="G233">
        <v>0</v>
      </c>
    </row>
    <row r="234" spans="1:7" x14ac:dyDescent="0.3">
      <c r="A234" s="5">
        <v>658072.14</v>
      </c>
      <c r="B234" s="5">
        <v>47241.919999999998</v>
      </c>
      <c r="C234" s="5">
        <v>4264</v>
      </c>
      <c r="D234" s="5">
        <v>95.3</v>
      </c>
      <c r="E234">
        <v>0</v>
      </c>
      <c r="F234">
        <v>0</v>
      </c>
      <c r="G234">
        <v>1</v>
      </c>
    </row>
    <row r="235" spans="1:7" x14ac:dyDescent="0.3">
      <c r="A235" s="5">
        <v>723305.11</v>
      </c>
      <c r="B235" s="5">
        <v>61650.79</v>
      </c>
      <c r="C235" s="5">
        <v>5321</v>
      </c>
      <c r="D235" s="5">
        <v>89.2</v>
      </c>
      <c r="E235">
        <v>0</v>
      </c>
      <c r="F235">
        <v>0</v>
      </c>
      <c r="G235">
        <v>1</v>
      </c>
    </row>
    <row r="236" spans="1:7" x14ac:dyDescent="0.3">
      <c r="A236" s="5">
        <v>640666.53</v>
      </c>
      <c r="B236" s="5">
        <v>62582.71</v>
      </c>
      <c r="C236" s="5">
        <v>5479</v>
      </c>
      <c r="D236" s="5">
        <v>81.2</v>
      </c>
      <c r="E236">
        <v>0</v>
      </c>
      <c r="F236">
        <v>0</v>
      </c>
      <c r="G236">
        <v>1</v>
      </c>
    </row>
    <row r="237" spans="1:7" x14ac:dyDescent="0.3">
      <c r="A237" s="5">
        <v>670629.48</v>
      </c>
      <c r="B237" s="5">
        <v>47944.14</v>
      </c>
      <c r="C237" s="5">
        <v>6169</v>
      </c>
      <c r="D237" s="5">
        <v>92.2</v>
      </c>
      <c r="E237">
        <v>0</v>
      </c>
      <c r="F237">
        <v>0</v>
      </c>
      <c r="G237">
        <v>1</v>
      </c>
    </row>
    <row r="238" spans="1:7" x14ac:dyDescent="0.3">
      <c r="A238" s="5">
        <v>721079.35</v>
      </c>
      <c r="B238" s="5">
        <v>46495.4</v>
      </c>
      <c r="C238" s="5">
        <v>9908</v>
      </c>
      <c r="D238" s="5">
        <v>89.4</v>
      </c>
      <c r="E238">
        <v>0</v>
      </c>
      <c r="F238">
        <v>0</v>
      </c>
      <c r="G238">
        <v>1</v>
      </c>
    </row>
    <row r="239" spans="1:7" x14ac:dyDescent="0.3">
      <c r="A239" s="5">
        <v>810355.02</v>
      </c>
      <c r="B239" s="5">
        <v>72961.95</v>
      </c>
      <c r="C239" s="5">
        <v>9996</v>
      </c>
      <c r="D239" s="5">
        <v>89.1</v>
      </c>
      <c r="E239">
        <v>0</v>
      </c>
      <c r="F239">
        <v>0</v>
      </c>
      <c r="G239">
        <v>1</v>
      </c>
    </row>
    <row r="240" spans="1:7" x14ac:dyDescent="0.3">
      <c r="A240" s="5">
        <v>761919.25</v>
      </c>
      <c r="B240" s="5">
        <v>59060.05</v>
      </c>
      <c r="C240" s="5">
        <v>9702</v>
      </c>
      <c r="D240" s="5">
        <v>80.900000000000006</v>
      </c>
      <c r="E240">
        <v>0</v>
      </c>
      <c r="F240">
        <v>0</v>
      </c>
      <c r="G240">
        <v>1</v>
      </c>
    </row>
    <row r="241" spans="1:7" x14ac:dyDescent="0.3">
      <c r="A241" s="5">
        <v>737070.18</v>
      </c>
      <c r="B241" s="5">
        <v>26248.1</v>
      </c>
      <c r="C241" s="5">
        <v>9314</v>
      </c>
      <c r="D241" s="5">
        <v>83.7</v>
      </c>
      <c r="E241">
        <v>0</v>
      </c>
      <c r="F241">
        <v>0</v>
      </c>
      <c r="G241">
        <v>1</v>
      </c>
    </row>
    <row r="242" spans="1:7" x14ac:dyDescent="0.3">
      <c r="A242" s="5">
        <v>776992.93</v>
      </c>
      <c r="B242" s="5">
        <v>69900.12</v>
      </c>
      <c r="C242" s="5">
        <v>8055</v>
      </c>
      <c r="D242" s="5">
        <v>85.6</v>
      </c>
      <c r="E242">
        <v>0</v>
      </c>
      <c r="F242">
        <v>0</v>
      </c>
      <c r="G242">
        <v>0</v>
      </c>
    </row>
    <row r="243" spans="1:7" x14ac:dyDescent="0.3">
      <c r="A243" s="5">
        <v>676337.41</v>
      </c>
      <c r="B243" s="5">
        <v>51781.599999999999</v>
      </c>
      <c r="C243" s="5">
        <v>5648</v>
      </c>
      <c r="D243" s="5">
        <v>85.5</v>
      </c>
      <c r="E243">
        <v>0</v>
      </c>
      <c r="F243">
        <v>0</v>
      </c>
      <c r="G243">
        <v>0</v>
      </c>
    </row>
    <row r="244" spans="1:7" x14ac:dyDescent="0.3">
      <c r="A244" s="5">
        <v>828219.67</v>
      </c>
      <c r="B244" s="5">
        <v>70799.64</v>
      </c>
      <c r="C244" s="5">
        <v>10076</v>
      </c>
      <c r="D244" s="5">
        <v>84.8</v>
      </c>
      <c r="E244">
        <v>0</v>
      </c>
      <c r="F244">
        <v>0</v>
      </c>
      <c r="G244">
        <v>0</v>
      </c>
    </row>
    <row r="245" spans="1:7" x14ac:dyDescent="0.3">
      <c r="A245" s="5">
        <v>763159.92</v>
      </c>
      <c r="B245" s="5">
        <v>53546.34</v>
      </c>
      <c r="C245" s="5">
        <v>8004</v>
      </c>
      <c r="D245" s="5">
        <v>95.2</v>
      </c>
      <c r="E245">
        <v>0</v>
      </c>
      <c r="F245">
        <v>0</v>
      </c>
      <c r="G245">
        <v>0</v>
      </c>
    </row>
    <row r="246" spans="1:7" x14ac:dyDescent="0.3">
      <c r="A246" s="5">
        <v>802001.68</v>
      </c>
      <c r="B246" s="5">
        <v>76942.2</v>
      </c>
      <c r="C246" s="5">
        <v>8934</v>
      </c>
      <c r="D246" s="5">
        <v>91</v>
      </c>
      <c r="E246">
        <v>1</v>
      </c>
      <c r="F246">
        <v>0</v>
      </c>
      <c r="G246">
        <v>0</v>
      </c>
    </row>
    <row r="247" spans="1:7" x14ac:dyDescent="0.3">
      <c r="A247" s="5">
        <v>750471.34</v>
      </c>
      <c r="B247" s="5">
        <v>48060.78</v>
      </c>
      <c r="C247" s="5">
        <v>8733</v>
      </c>
      <c r="D247" s="5">
        <v>89.9</v>
      </c>
      <c r="E247">
        <v>1</v>
      </c>
      <c r="F247">
        <v>0</v>
      </c>
      <c r="G247">
        <v>0</v>
      </c>
    </row>
    <row r="248" spans="1:7" x14ac:dyDescent="0.3">
      <c r="A248" s="5">
        <v>679230.86</v>
      </c>
      <c r="B248" s="5">
        <v>57390.04</v>
      </c>
      <c r="C248" s="5">
        <v>7374</v>
      </c>
      <c r="D248" s="5">
        <v>91.8</v>
      </c>
      <c r="E248">
        <v>1</v>
      </c>
      <c r="F248">
        <v>0</v>
      </c>
      <c r="G248">
        <v>0</v>
      </c>
    </row>
    <row r="249" spans="1:7" x14ac:dyDescent="0.3">
      <c r="A249" s="5">
        <v>679888.74</v>
      </c>
      <c r="B249" s="5">
        <v>21536.18</v>
      </c>
      <c r="C249" s="5">
        <v>8119</v>
      </c>
      <c r="D249" s="5">
        <v>90.4</v>
      </c>
      <c r="E249">
        <v>1</v>
      </c>
      <c r="F249">
        <v>0</v>
      </c>
      <c r="G249">
        <v>0</v>
      </c>
    </row>
    <row r="250" spans="1:7" x14ac:dyDescent="0.3">
      <c r="A250" s="5">
        <v>606783.67000000004</v>
      </c>
      <c r="B250" s="5">
        <v>40923.67</v>
      </c>
      <c r="C250" s="5">
        <v>3875</v>
      </c>
      <c r="D250" s="5">
        <v>96.1</v>
      </c>
      <c r="E250">
        <v>0</v>
      </c>
      <c r="F250">
        <v>1</v>
      </c>
      <c r="G250">
        <v>0</v>
      </c>
    </row>
    <row r="251" spans="1:7" x14ac:dyDescent="0.3">
      <c r="A251" s="5">
        <v>642751.42000000004</v>
      </c>
      <c r="B251" s="5">
        <v>72932.55</v>
      </c>
      <c r="C251" s="5">
        <v>5765</v>
      </c>
      <c r="D251" s="5">
        <v>81.8</v>
      </c>
      <c r="E251">
        <v>0</v>
      </c>
      <c r="F251">
        <v>1</v>
      </c>
      <c r="G251">
        <v>0</v>
      </c>
    </row>
    <row r="252" spans="1:7" x14ac:dyDescent="0.3">
      <c r="A252" s="5">
        <v>647953.78</v>
      </c>
      <c r="B252" s="5">
        <v>38361.93</v>
      </c>
      <c r="C252" s="5">
        <v>6322</v>
      </c>
      <c r="D252" s="5">
        <v>88.4</v>
      </c>
      <c r="E252">
        <v>0</v>
      </c>
      <c r="F252">
        <v>1</v>
      </c>
      <c r="G252">
        <v>0</v>
      </c>
    </row>
    <row r="253" spans="1:7" x14ac:dyDescent="0.3">
      <c r="A253" s="5">
        <v>729440.45</v>
      </c>
      <c r="B253" s="5">
        <v>97480.94</v>
      </c>
      <c r="C253" s="5">
        <v>6840</v>
      </c>
      <c r="D253" s="5">
        <v>79.2</v>
      </c>
      <c r="E253">
        <v>0</v>
      </c>
      <c r="F253">
        <v>1</v>
      </c>
      <c r="G253">
        <v>0</v>
      </c>
    </row>
    <row r="254" spans="1:7" x14ac:dyDescent="0.3">
      <c r="A254" s="5">
        <v>764949</v>
      </c>
      <c r="B254" s="5">
        <v>81801.8</v>
      </c>
      <c r="C254" s="5">
        <v>6782</v>
      </c>
      <c r="D254" s="5">
        <v>99</v>
      </c>
      <c r="E254">
        <v>0</v>
      </c>
      <c r="F254">
        <v>0</v>
      </c>
      <c r="G254">
        <v>0</v>
      </c>
    </row>
    <row r="255" spans="1:7" x14ac:dyDescent="0.3">
      <c r="A255" s="5">
        <v>799046.94</v>
      </c>
      <c r="B255" s="5">
        <v>63582.11</v>
      </c>
      <c r="C255" s="5">
        <v>6856</v>
      </c>
      <c r="D255" s="5">
        <v>89.5</v>
      </c>
      <c r="E255">
        <v>0</v>
      </c>
      <c r="F255">
        <v>0</v>
      </c>
      <c r="G255">
        <v>0</v>
      </c>
    </row>
    <row r="256" spans="1:7" x14ac:dyDescent="0.3">
      <c r="A256" s="5">
        <v>720079.54</v>
      </c>
      <c r="B256" s="5">
        <v>75412.740000000005</v>
      </c>
      <c r="C256" s="5">
        <v>5641</v>
      </c>
      <c r="D256" s="5">
        <v>87.9</v>
      </c>
      <c r="E256">
        <v>0</v>
      </c>
      <c r="F256">
        <v>0</v>
      </c>
      <c r="G256">
        <v>0</v>
      </c>
    </row>
    <row r="257" spans="1:7" x14ac:dyDescent="0.3">
      <c r="A257" s="5">
        <v>612390.14</v>
      </c>
      <c r="B257" s="5">
        <v>36290.080000000002</v>
      </c>
      <c r="C257" s="5">
        <v>5787</v>
      </c>
      <c r="D257" s="5">
        <v>88.3</v>
      </c>
      <c r="E257">
        <v>0</v>
      </c>
      <c r="F257">
        <v>0</v>
      </c>
      <c r="G257">
        <v>0</v>
      </c>
    </row>
    <row r="258" spans="1:7" x14ac:dyDescent="0.3">
      <c r="A258" s="5">
        <v>840108.12</v>
      </c>
      <c r="B258" s="5">
        <v>65272.58</v>
      </c>
      <c r="C258" s="5">
        <v>8165</v>
      </c>
      <c r="D258" s="5">
        <v>87.8</v>
      </c>
      <c r="E258">
        <v>0</v>
      </c>
      <c r="F258">
        <v>0</v>
      </c>
      <c r="G258">
        <v>0</v>
      </c>
    </row>
    <row r="259" spans="1:7" x14ac:dyDescent="0.3">
      <c r="A259" s="5">
        <v>697888.09</v>
      </c>
      <c r="B259" s="5">
        <v>28670.43</v>
      </c>
      <c r="C259" s="5">
        <v>7574</v>
      </c>
      <c r="D259" s="5">
        <v>82.7</v>
      </c>
      <c r="E259">
        <v>0</v>
      </c>
      <c r="F259">
        <v>0</v>
      </c>
      <c r="G259">
        <v>0</v>
      </c>
    </row>
    <row r="260" spans="1:7" x14ac:dyDescent="0.3">
      <c r="A260" s="5">
        <v>746115.59</v>
      </c>
      <c r="B260" s="5">
        <v>44189.34</v>
      </c>
      <c r="C260" s="5">
        <v>8634</v>
      </c>
      <c r="D260" s="5">
        <v>87.5</v>
      </c>
      <c r="E260">
        <v>0</v>
      </c>
      <c r="F260">
        <v>0</v>
      </c>
      <c r="G260">
        <v>0</v>
      </c>
    </row>
    <row r="261" spans="1:7" x14ac:dyDescent="0.3">
      <c r="A261" s="5">
        <v>776110.32</v>
      </c>
      <c r="B261" s="5">
        <v>38397.82</v>
      </c>
      <c r="C261" s="5">
        <v>7836</v>
      </c>
      <c r="D261" s="5">
        <v>92.2</v>
      </c>
      <c r="E261">
        <v>0</v>
      </c>
      <c r="F261">
        <v>0</v>
      </c>
      <c r="G261">
        <v>0</v>
      </c>
    </row>
    <row r="262" spans="1:7" x14ac:dyDescent="0.3">
      <c r="A262" s="5">
        <v>528852.62</v>
      </c>
      <c r="B262" s="5">
        <v>14519.37</v>
      </c>
      <c r="C262" s="5">
        <v>3047</v>
      </c>
      <c r="D262" s="5">
        <v>90.3</v>
      </c>
      <c r="E262">
        <v>0</v>
      </c>
      <c r="F262">
        <v>0</v>
      </c>
      <c r="G262">
        <v>1</v>
      </c>
    </row>
    <row r="263" spans="1:7" x14ac:dyDescent="0.3">
      <c r="A263" s="5">
        <v>605751.32999999996</v>
      </c>
      <c r="B263" s="5">
        <v>43288.2</v>
      </c>
      <c r="C263" s="5">
        <v>4783</v>
      </c>
      <c r="D263" s="5">
        <v>87.3</v>
      </c>
      <c r="E263">
        <v>0</v>
      </c>
      <c r="F263">
        <v>0</v>
      </c>
      <c r="G263">
        <v>1</v>
      </c>
    </row>
    <row r="264" spans="1:7" x14ac:dyDescent="0.3">
      <c r="A264" s="5">
        <v>677640.65</v>
      </c>
      <c r="B264" s="5">
        <v>51450.55</v>
      </c>
      <c r="C264" s="5">
        <v>4902</v>
      </c>
      <c r="D264" s="5">
        <v>83.7</v>
      </c>
      <c r="E264">
        <v>0</v>
      </c>
      <c r="F264">
        <v>0</v>
      </c>
      <c r="G264">
        <v>1</v>
      </c>
    </row>
    <row r="265" spans="1:7" x14ac:dyDescent="0.3">
      <c r="A265" s="5">
        <v>636613.23</v>
      </c>
      <c r="B265" s="5">
        <v>58688.26</v>
      </c>
      <c r="C265" s="5">
        <v>4022</v>
      </c>
      <c r="D265" s="5">
        <v>93.8</v>
      </c>
      <c r="E265">
        <v>0</v>
      </c>
      <c r="F265">
        <v>0</v>
      </c>
      <c r="G265">
        <v>1</v>
      </c>
    </row>
    <row r="266" spans="1:7" x14ac:dyDescent="0.3">
      <c r="A266" s="5">
        <v>708985.19</v>
      </c>
      <c r="B266" s="5">
        <v>58981.91</v>
      </c>
      <c r="C266" s="5">
        <v>7324</v>
      </c>
      <c r="D266" s="5">
        <v>95.8</v>
      </c>
      <c r="E266">
        <v>1</v>
      </c>
      <c r="F266">
        <v>0</v>
      </c>
      <c r="G266">
        <v>0</v>
      </c>
    </row>
    <row r="267" spans="1:7" x14ac:dyDescent="0.3">
      <c r="A267" s="5">
        <v>767792.94</v>
      </c>
      <c r="B267" s="5">
        <v>73454.539999999994</v>
      </c>
      <c r="C267" s="5">
        <v>8129</v>
      </c>
      <c r="D267" s="5">
        <v>85.2</v>
      </c>
      <c r="E267">
        <v>1</v>
      </c>
      <c r="F267">
        <v>0</v>
      </c>
      <c r="G267">
        <v>0</v>
      </c>
    </row>
    <row r="268" spans="1:7" x14ac:dyDescent="0.3">
      <c r="A268" s="5">
        <v>745580.51</v>
      </c>
      <c r="B268" s="5">
        <v>56602.39</v>
      </c>
      <c r="C268" s="5">
        <v>7969</v>
      </c>
      <c r="D268" s="5">
        <v>88.3</v>
      </c>
      <c r="E268">
        <v>1</v>
      </c>
      <c r="F268">
        <v>0</v>
      </c>
      <c r="G268">
        <v>0</v>
      </c>
    </row>
    <row r="269" spans="1:7" x14ac:dyDescent="0.3">
      <c r="A269" s="5">
        <v>762328.31</v>
      </c>
      <c r="B269" s="5">
        <v>67722.289999999994</v>
      </c>
      <c r="C269" s="5">
        <v>7240</v>
      </c>
      <c r="D269" s="5">
        <v>92.9</v>
      </c>
      <c r="E269">
        <v>1</v>
      </c>
      <c r="F269">
        <v>0</v>
      </c>
      <c r="G269">
        <v>0</v>
      </c>
    </row>
    <row r="270" spans="1:7" x14ac:dyDescent="0.3">
      <c r="A270" s="5">
        <v>660633.99</v>
      </c>
      <c r="B270" s="5">
        <v>48752.92</v>
      </c>
      <c r="C270" s="5">
        <v>8052</v>
      </c>
      <c r="D270" s="5">
        <v>94.9</v>
      </c>
      <c r="E270">
        <v>1</v>
      </c>
      <c r="F270">
        <v>0</v>
      </c>
      <c r="G270">
        <v>0</v>
      </c>
    </row>
    <row r="271" spans="1:7" x14ac:dyDescent="0.3">
      <c r="A271" s="5">
        <v>739374.56</v>
      </c>
      <c r="B271" s="5">
        <v>23914.97</v>
      </c>
      <c r="C271" s="5">
        <v>8018</v>
      </c>
      <c r="D271" s="5">
        <v>89</v>
      </c>
      <c r="E271">
        <v>1</v>
      </c>
      <c r="F271">
        <v>0</v>
      </c>
      <c r="G271">
        <v>0</v>
      </c>
    </row>
    <row r="272" spans="1:7" x14ac:dyDescent="0.3">
      <c r="A272" s="5">
        <v>799756.46</v>
      </c>
      <c r="B272" s="5">
        <v>61995.3</v>
      </c>
      <c r="C272" s="5">
        <v>10192</v>
      </c>
      <c r="D272" s="5">
        <v>87.6</v>
      </c>
      <c r="E272">
        <v>1</v>
      </c>
      <c r="F272">
        <v>0</v>
      </c>
      <c r="G272">
        <v>0</v>
      </c>
    </row>
    <row r="273" spans="1:7" x14ac:dyDescent="0.3">
      <c r="A273" s="5">
        <v>593343</v>
      </c>
      <c r="B273" s="5">
        <v>29344.93</v>
      </c>
      <c r="C273" s="5">
        <v>7446</v>
      </c>
      <c r="D273" s="5">
        <v>86.2</v>
      </c>
      <c r="E273">
        <v>1</v>
      </c>
      <c r="F273">
        <v>0</v>
      </c>
      <c r="G273">
        <v>0</v>
      </c>
    </row>
    <row r="274" spans="1:7" x14ac:dyDescent="0.3">
      <c r="A274" s="5">
        <v>645039.97</v>
      </c>
      <c r="B274" s="5">
        <v>50532.17</v>
      </c>
      <c r="C274" s="5">
        <v>5689</v>
      </c>
      <c r="D274" s="5">
        <v>85.6</v>
      </c>
      <c r="E274">
        <v>0</v>
      </c>
      <c r="F274">
        <v>0</v>
      </c>
      <c r="G274">
        <v>1</v>
      </c>
    </row>
    <row r="275" spans="1:7" x14ac:dyDescent="0.3">
      <c r="A275" s="5">
        <v>561597.32999999996</v>
      </c>
      <c r="B275" s="5">
        <v>17562.57</v>
      </c>
      <c r="C275" s="5">
        <v>3326</v>
      </c>
      <c r="D275" s="5">
        <v>88.1</v>
      </c>
      <c r="E275">
        <v>0</v>
      </c>
      <c r="F275">
        <v>0</v>
      </c>
      <c r="G275">
        <v>1</v>
      </c>
    </row>
    <row r="276" spans="1:7" x14ac:dyDescent="0.3">
      <c r="A276" s="5">
        <v>635837.74</v>
      </c>
      <c r="B276" s="5">
        <v>47648.71</v>
      </c>
      <c r="C276" s="5">
        <v>5767</v>
      </c>
      <c r="D276" s="5">
        <v>89.8</v>
      </c>
      <c r="E276">
        <v>0</v>
      </c>
      <c r="F276">
        <v>0</v>
      </c>
      <c r="G276">
        <v>1</v>
      </c>
    </row>
    <row r="277" spans="1:7" x14ac:dyDescent="0.3">
      <c r="A277" s="5">
        <v>686737.87</v>
      </c>
      <c r="B277" s="5">
        <v>38297.58</v>
      </c>
      <c r="C277" s="5">
        <v>5893</v>
      </c>
      <c r="D277" s="5">
        <v>77.599999999999994</v>
      </c>
      <c r="E277">
        <v>0</v>
      </c>
      <c r="F277">
        <v>0</v>
      </c>
      <c r="G277">
        <v>1</v>
      </c>
    </row>
    <row r="278" spans="1:7" x14ac:dyDescent="0.3">
      <c r="A278" s="5">
        <v>673076.34</v>
      </c>
      <c r="B278" s="5">
        <v>61784.11</v>
      </c>
      <c r="C278" s="5">
        <v>8564</v>
      </c>
      <c r="D278" s="5">
        <v>87.4</v>
      </c>
      <c r="E278">
        <v>0</v>
      </c>
      <c r="F278">
        <v>0</v>
      </c>
      <c r="G278">
        <v>0</v>
      </c>
    </row>
    <row r="279" spans="1:7" x14ac:dyDescent="0.3">
      <c r="A279" s="5">
        <v>738548.42</v>
      </c>
      <c r="B279" s="5">
        <v>36832.33</v>
      </c>
      <c r="C279" s="5">
        <v>8001</v>
      </c>
      <c r="D279" s="5">
        <v>88.7</v>
      </c>
      <c r="E279">
        <v>0</v>
      </c>
      <c r="F279">
        <v>0</v>
      </c>
      <c r="G279">
        <v>0</v>
      </c>
    </row>
    <row r="280" spans="1:7" x14ac:dyDescent="0.3">
      <c r="A280" s="5">
        <v>756619.77</v>
      </c>
      <c r="B280" s="5">
        <v>48609.41</v>
      </c>
      <c r="C280" s="5">
        <v>9324</v>
      </c>
      <c r="D280" s="5">
        <v>86.5</v>
      </c>
      <c r="E280">
        <v>0</v>
      </c>
      <c r="F280">
        <v>0</v>
      </c>
      <c r="G280">
        <v>0</v>
      </c>
    </row>
    <row r="281" spans="1:7" x14ac:dyDescent="0.3">
      <c r="A281" s="5">
        <v>761122.42</v>
      </c>
      <c r="B281" s="5">
        <v>70284.06</v>
      </c>
      <c r="C281" s="5">
        <v>9109</v>
      </c>
      <c r="D281" s="5">
        <v>87</v>
      </c>
      <c r="E281">
        <v>0</v>
      </c>
      <c r="F281">
        <v>0</v>
      </c>
      <c r="G281">
        <v>0</v>
      </c>
    </row>
    <row r="282" spans="1:7" x14ac:dyDescent="0.3">
      <c r="A282" s="5">
        <v>524899.56999999995</v>
      </c>
      <c r="B282" s="5">
        <v>45940.39</v>
      </c>
      <c r="C282" s="5">
        <v>4022</v>
      </c>
      <c r="D282" s="5">
        <v>83</v>
      </c>
      <c r="E282">
        <v>0</v>
      </c>
      <c r="F282">
        <v>0</v>
      </c>
      <c r="G282">
        <v>0</v>
      </c>
    </row>
    <row r="283" spans="1:7" x14ac:dyDescent="0.3">
      <c r="A283" s="5">
        <v>555557.77</v>
      </c>
      <c r="B283" s="5">
        <v>34771.26</v>
      </c>
      <c r="C283" s="5">
        <v>4355</v>
      </c>
      <c r="D283" s="5">
        <v>87.9</v>
      </c>
      <c r="E283">
        <v>0</v>
      </c>
      <c r="F283">
        <v>0</v>
      </c>
      <c r="G283">
        <v>0</v>
      </c>
    </row>
    <row r="284" spans="1:7" x14ac:dyDescent="0.3">
      <c r="A284" s="5">
        <v>714083.68</v>
      </c>
      <c r="B284" s="5">
        <v>66104.19</v>
      </c>
      <c r="C284" s="5">
        <v>5745</v>
      </c>
      <c r="D284" s="5">
        <v>95.8</v>
      </c>
      <c r="E284">
        <v>0</v>
      </c>
      <c r="F284">
        <v>0</v>
      </c>
      <c r="G284">
        <v>0</v>
      </c>
    </row>
    <row r="285" spans="1:7" x14ac:dyDescent="0.3">
      <c r="A285" s="5">
        <v>497439.82</v>
      </c>
      <c r="B285" s="5">
        <v>18599.21</v>
      </c>
      <c r="C285" s="5">
        <v>3027</v>
      </c>
      <c r="D285" s="5">
        <v>80.900000000000006</v>
      </c>
      <c r="E285">
        <v>0</v>
      </c>
      <c r="F285">
        <v>0</v>
      </c>
      <c r="G285">
        <v>0</v>
      </c>
    </row>
    <row r="286" spans="1:7" x14ac:dyDescent="0.3">
      <c r="A286" s="5">
        <v>636775.66</v>
      </c>
      <c r="B286" s="5">
        <v>60183.06</v>
      </c>
      <c r="C286" s="5">
        <v>5562</v>
      </c>
      <c r="D286" s="5">
        <v>86.3</v>
      </c>
      <c r="E286">
        <v>0</v>
      </c>
      <c r="F286">
        <v>0</v>
      </c>
      <c r="G286">
        <v>1</v>
      </c>
    </row>
    <row r="287" spans="1:7" x14ac:dyDescent="0.3">
      <c r="A287" s="5">
        <v>633009.53</v>
      </c>
      <c r="B287" s="5">
        <v>74539.14</v>
      </c>
      <c r="C287" s="5">
        <v>4487</v>
      </c>
      <c r="D287" s="5">
        <v>90.4</v>
      </c>
      <c r="E287">
        <v>0</v>
      </c>
      <c r="F287">
        <v>0</v>
      </c>
      <c r="G287">
        <v>1</v>
      </c>
    </row>
    <row r="288" spans="1:7" x14ac:dyDescent="0.3">
      <c r="A288" s="5">
        <v>609949</v>
      </c>
      <c r="B288" s="5">
        <v>55371.97</v>
      </c>
      <c r="C288" s="5">
        <v>4162</v>
      </c>
      <c r="D288" s="5">
        <v>92</v>
      </c>
      <c r="E288">
        <v>0</v>
      </c>
      <c r="F288">
        <v>0</v>
      </c>
      <c r="G288">
        <v>1</v>
      </c>
    </row>
    <row r="289" spans="1:7" x14ac:dyDescent="0.3">
      <c r="A289" s="5">
        <v>548103.69999999995</v>
      </c>
      <c r="B289" s="5">
        <v>40928.69</v>
      </c>
      <c r="C289" s="5">
        <v>4094</v>
      </c>
      <c r="D289" s="5">
        <v>82.4</v>
      </c>
      <c r="E289">
        <v>0</v>
      </c>
      <c r="F289">
        <v>0</v>
      </c>
      <c r="G289">
        <v>1</v>
      </c>
    </row>
    <row r="290" spans="1:7" x14ac:dyDescent="0.3">
      <c r="A290" s="5">
        <v>729424.42</v>
      </c>
      <c r="B290" s="5">
        <v>70012.41</v>
      </c>
      <c r="C290" s="5">
        <v>8484</v>
      </c>
      <c r="D290" s="5">
        <v>72.900000000000006</v>
      </c>
      <c r="E290">
        <v>1</v>
      </c>
      <c r="F290">
        <v>0</v>
      </c>
      <c r="G290">
        <v>0</v>
      </c>
    </row>
    <row r="291" spans="1:7" x14ac:dyDescent="0.3">
      <c r="A291" s="5">
        <v>696261.49</v>
      </c>
      <c r="B291" s="5">
        <v>68909.259999999995</v>
      </c>
      <c r="C291" s="5">
        <v>7794</v>
      </c>
      <c r="D291" s="5">
        <v>89</v>
      </c>
      <c r="E291">
        <v>1</v>
      </c>
      <c r="F291">
        <v>0</v>
      </c>
      <c r="G291">
        <v>0</v>
      </c>
    </row>
    <row r="292" spans="1:7" x14ac:dyDescent="0.3">
      <c r="A292" s="5">
        <v>813316.71</v>
      </c>
      <c r="B292" s="5">
        <v>56737.3</v>
      </c>
      <c r="C292" s="5">
        <v>8300</v>
      </c>
      <c r="D292" s="5">
        <v>83.2</v>
      </c>
      <c r="E292">
        <v>1</v>
      </c>
      <c r="F292">
        <v>0</v>
      </c>
      <c r="G292">
        <v>0</v>
      </c>
    </row>
    <row r="293" spans="1:7" x14ac:dyDescent="0.3">
      <c r="A293" s="5">
        <v>702068.92</v>
      </c>
      <c r="B293" s="5">
        <v>54080.91</v>
      </c>
      <c r="C293" s="5">
        <v>7083</v>
      </c>
      <c r="D293" s="5">
        <v>97</v>
      </c>
      <c r="E293">
        <v>1</v>
      </c>
      <c r="F293">
        <v>0</v>
      </c>
      <c r="G293">
        <v>0</v>
      </c>
    </row>
    <row r="294" spans="1:7" x14ac:dyDescent="0.3">
      <c r="A294" s="5">
        <v>546223.69999999995</v>
      </c>
      <c r="B294" s="5">
        <v>51996.32</v>
      </c>
      <c r="C294" s="5">
        <v>3834</v>
      </c>
      <c r="D294" s="5">
        <v>86.7</v>
      </c>
      <c r="E294">
        <v>0</v>
      </c>
      <c r="F294">
        <v>0</v>
      </c>
      <c r="G294">
        <v>1</v>
      </c>
    </row>
    <row r="295" spans="1:7" x14ac:dyDescent="0.3">
      <c r="A295" s="5">
        <v>533121.26</v>
      </c>
      <c r="B295" s="5">
        <v>40102.879999999997</v>
      </c>
      <c r="C295" s="5">
        <v>2358</v>
      </c>
      <c r="D295" s="5">
        <v>88.7</v>
      </c>
      <c r="E295">
        <v>0</v>
      </c>
      <c r="F295">
        <v>0</v>
      </c>
      <c r="G295">
        <v>1</v>
      </c>
    </row>
    <row r="296" spans="1:7" x14ac:dyDescent="0.3">
      <c r="A296" s="5">
        <v>498970.32</v>
      </c>
      <c r="B296" s="5">
        <v>59825.51</v>
      </c>
      <c r="C296" s="5">
        <v>1231</v>
      </c>
      <c r="D296" s="5">
        <v>84.8</v>
      </c>
      <c r="E296">
        <v>0</v>
      </c>
      <c r="F296">
        <v>0</v>
      </c>
      <c r="G296">
        <v>1</v>
      </c>
    </row>
    <row r="297" spans="1:7" x14ac:dyDescent="0.3">
      <c r="A297" s="5">
        <v>487738.26</v>
      </c>
      <c r="B297" s="5">
        <v>27398.28</v>
      </c>
      <c r="C297" s="5">
        <v>1723</v>
      </c>
      <c r="D297" s="5">
        <v>81</v>
      </c>
      <c r="E297">
        <v>0</v>
      </c>
      <c r="F297">
        <v>0</v>
      </c>
      <c r="G297">
        <v>1</v>
      </c>
    </row>
    <row r="298" spans="1:7" x14ac:dyDescent="0.3">
      <c r="A298" s="5">
        <v>668459.37</v>
      </c>
      <c r="B298" s="5">
        <v>55599.56</v>
      </c>
      <c r="C298" s="5">
        <v>5896</v>
      </c>
      <c r="D298" s="5">
        <v>93.1</v>
      </c>
      <c r="E298">
        <v>0</v>
      </c>
      <c r="F298">
        <v>0</v>
      </c>
      <c r="G298">
        <v>1</v>
      </c>
    </row>
    <row r="299" spans="1:7" x14ac:dyDescent="0.3">
      <c r="A299" s="5">
        <v>763162.45</v>
      </c>
      <c r="B299" s="5">
        <v>55477.61</v>
      </c>
      <c r="C299" s="5">
        <v>5903</v>
      </c>
      <c r="D299" s="5">
        <v>96.2</v>
      </c>
      <c r="E299">
        <v>0</v>
      </c>
      <c r="F299">
        <v>0</v>
      </c>
      <c r="G299">
        <v>1</v>
      </c>
    </row>
    <row r="300" spans="1:7" x14ac:dyDescent="0.3">
      <c r="A300" s="5">
        <v>599017.32999999996</v>
      </c>
      <c r="B300" s="5">
        <v>46174.7</v>
      </c>
      <c r="C300" s="5">
        <v>4898</v>
      </c>
      <c r="D300" s="5">
        <v>91.7</v>
      </c>
      <c r="E300">
        <v>0</v>
      </c>
      <c r="F300">
        <v>0</v>
      </c>
      <c r="G300">
        <v>1</v>
      </c>
    </row>
    <row r="301" spans="1:7" x14ac:dyDescent="0.3">
      <c r="A301" s="5">
        <v>401582.58</v>
      </c>
      <c r="B301" s="5">
        <v>24362.98</v>
      </c>
      <c r="C301" s="5">
        <v>1462</v>
      </c>
      <c r="D301" s="5">
        <v>89.3</v>
      </c>
      <c r="E301">
        <v>0</v>
      </c>
      <c r="F301">
        <v>0</v>
      </c>
      <c r="G301">
        <v>1</v>
      </c>
    </row>
    <row r="302" spans="1:7" x14ac:dyDescent="0.3">
      <c r="A302" s="5">
        <v>703812.99</v>
      </c>
      <c r="B302" s="5">
        <v>40647.67</v>
      </c>
      <c r="C302" s="5">
        <v>8252</v>
      </c>
      <c r="D302" s="5">
        <v>88.2</v>
      </c>
      <c r="E302">
        <v>0</v>
      </c>
      <c r="F302">
        <v>1</v>
      </c>
      <c r="G302">
        <v>0</v>
      </c>
    </row>
    <row r="303" spans="1:7" x14ac:dyDescent="0.3">
      <c r="A303" s="5">
        <v>724346.73</v>
      </c>
      <c r="B303" s="5">
        <v>63986.98</v>
      </c>
      <c r="C303" s="5">
        <v>7989</v>
      </c>
      <c r="D303" s="5">
        <v>83.3</v>
      </c>
      <c r="E303">
        <v>0</v>
      </c>
      <c r="F303">
        <v>1</v>
      </c>
      <c r="G303">
        <v>0</v>
      </c>
    </row>
    <row r="304" spans="1:7" x14ac:dyDescent="0.3">
      <c r="A304" s="5">
        <v>730890.01</v>
      </c>
      <c r="B304" s="5">
        <v>52843.75</v>
      </c>
      <c r="C304" s="5">
        <v>8268</v>
      </c>
      <c r="D304" s="5">
        <v>87.3</v>
      </c>
      <c r="E304">
        <v>0</v>
      </c>
      <c r="F304">
        <v>1</v>
      </c>
      <c r="G304">
        <v>0</v>
      </c>
    </row>
    <row r="305" spans="1:7" x14ac:dyDescent="0.3">
      <c r="A305" s="5">
        <v>780580.95</v>
      </c>
      <c r="B305" s="5">
        <v>31997.25</v>
      </c>
      <c r="C305" s="5">
        <v>8183</v>
      </c>
      <c r="D305" s="5">
        <v>93</v>
      </c>
      <c r="E305">
        <v>0</v>
      </c>
      <c r="F305">
        <v>1</v>
      </c>
      <c r="G305">
        <v>0</v>
      </c>
    </row>
    <row r="306" spans="1:7" x14ac:dyDescent="0.3">
      <c r="A306" s="5">
        <v>727957.48</v>
      </c>
      <c r="B306" s="5">
        <v>54948.02</v>
      </c>
      <c r="C306" s="5">
        <v>6534</v>
      </c>
      <c r="D306" s="5">
        <v>94.5</v>
      </c>
      <c r="E306">
        <v>0</v>
      </c>
      <c r="F306">
        <v>0</v>
      </c>
      <c r="G306">
        <v>0</v>
      </c>
    </row>
    <row r="307" spans="1:7" x14ac:dyDescent="0.3">
      <c r="A307" s="5">
        <v>538376</v>
      </c>
      <c r="B307" s="5">
        <v>46146.239999999998</v>
      </c>
      <c r="C307" s="5">
        <v>5804</v>
      </c>
      <c r="D307" s="5">
        <v>86.9</v>
      </c>
      <c r="E307">
        <v>0</v>
      </c>
      <c r="F307">
        <v>0</v>
      </c>
      <c r="G307">
        <v>0</v>
      </c>
    </row>
    <row r="308" spans="1:7" x14ac:dyDescent="0.3">
      <c r="A308" s="5">
        <v>665342.49</v>
      </c>
      <c r="B308" s="5">
        <v>22387.26</v>
      </c>
      <c r="C308" s="5">
        <v>6301</v>
      </c>
      <c r="D308" s="5">
        <v>85.9</v>
      </c>
      <c r="E308">
        <v>0</v>
      </c>
      <c r="F308">
        <v>0</v>
      </c>
      <c r="G308">
        <v>0</v>
      </c>
    </row>
    <row r="309" spans="1:7" x14ac:dyDescent="0.3">
      <c r="A309" s="5">
        <v>651164.18000000005</v>
      </c>
      <c r="B309" s="5">
        <v>60684.05</v>
      </c>
      <c r="C309" s="5">
        <v>6399</v>
      </c>
      <c r="D309" s="5">
        <v>99</v>
      </c>
      <c r="E309">
        <v>0</v>
      </c>
      <c r="F309">
        <v>0</v>
      </c>
      <c r="G309">
        <v>0</v>
      </c>
    </row>
    <row r="310" spans="1:7" x14ac:dyDescent="0.3">
      <c r="A310" s="5">
        <v>628538.30000000005</v>
      </c>
      <c r="B310" s="5">
        <v>48465.599999999999</v>
      </c>
      <c r="C310" s="5">
        <v>5759</v>
      </c>
      <c r="D310" s="5">
        <v>87.5</v>
      </c>
      <c r="E310">
        <v>0</v>
      </c>
      <c r="F310">
        <v>0</v>
      </c>
      <c r="G310">
        <v>0</v>
      </c>
    </row>
    <row r="311" spans="1:7" x14ac:dyDescent="0.3">
      <c r="A311" s="5">
        <v>536524.84</v>
      </c>
      <c r="B311" s="5">
        <v>23702.38</v>
      </c>
      <c r="C311" s="5">
        <v>5285</v>
      </c>
      <c r="D311" s="5">
        <v>79.7</v>
      </c>
      <c r="E311">
        <v>0</v>
      </c>
      <c r="F311">
        <v>0</v>
      </c>
      <c r="G311">
        <v>0</v>
      </c>
    </row>
    <row r="312" spans="1:7" x14ac:dyDescent="0.3">
      <c r="A312" s="5">
        <v>621677.30000000005</v>
      </c>
      <c r="B312" s="5">
        <v>54322.94</v>
      </c>
      <c r="C312" s="5">
        <v>5434</v>
      </c>
      <c r="D312" s="5">
        <v>85.7</v>
      </c>
      <c r="E312">
        <v>0</v>
      </c>
      <c r="F312">
        <v>0</v>
      </c>
      <c r="G312">
        <v>0</v>
      </c>
    </row>
    <row r="313" spans="1:7" x14ac:dyDescent="0.3">
      <c r="A313" s="5">
        <v>771129.07</v>
      </c>
      <c r="B313" s="5">
        <v>86026.58</v>
      </c>
      <c r="C313" s="5">
        <v>7479</v>
      </c>
      <c r="D313" s="5">
        <v>89</v>
      </c>
      <c r="E313">
        <v>0</v>
      </c>
      <c r="F313">
        <v>0</v>
      </c>
      <c r="G313">
        <v>0</v>
      </c>
    </row>
    <row r="314" spans="1:7" x14ac:dyDescent="0.3">
      <c r="A314" s="5">
        <v>702052.47</v>
      </c>
      <c r="B314" s="5">
        <v>78967.520000000004</v>
      </c>
      <c r="C314" s="5">
        <v>6164</v>
      </c>
      <c r="D314" s="5">
        <v>85.5</v>
      </c>
      <c r="E314">
        <v>0</v>
      </c>
      <c r="F314">
        <v>1</v>
      </c>
      <c r="G314">
        <v>0</v>
      </c>
    </row>
    <row r="315" spans="1:7" x14ac:dyDescent="0.3">
      <c r="A315" s="5">
        <v>688368.46</v>
      </c>
      <c r="B315" s="5">
        <v>46767.99</v>
      </c>
      <c r="C315" s="5">
        <v>7973</v>
      </c>
      <c r="D315" s="5">
        <v>94.8</v>
      </c>
      <c r="E315">
        <v>0</v>
      </c>
      <c r="F315">
        <v>1</v>
      </c>
      <c r="G315">
        <v>0</v>
      </c>
    </row>
    <row r="316" spans="1:7" x14ac:dyDescent="0.3">
      <c r="A316" s="5">
        <v>712375.77</v>
      </c>
      <c r="B316" s="5">
        <v>62507.16</v>
      </c>
      <c r="C316" s="5">
        <v>6000</v>
      </c>
      <c r="D316" s="5">
        <v>98.2</v>
      </c>
      <c r="E316">
        <v>0</v>
      </c>
      <c r="F316">
        <v>1</v>
      </c>
      <c r="G316">
        <v>0</v>
      </c>
    </row>
    <row r="317" spans="1:7" x14ac:dyDescent="0.3">
      <c r="A317" s="5">
        <v>844710.67</v>
      </c>
      <c r="B317" s="5">
        <v>66456.28</v>
      </c>
      <c r="C317" s="5">
        <v>9967</v>
      </c>
      <c r="D317" s="5">
        <v>94.7</v>
      </c>
      <c r="E317">
        <v>0</v>
      </c>
      <c r="F317">
        <v>1</v>
      </c>
      <c r="G317">
        <v>0</v>
      </c>
    </row>
    <row r="318" spans="1:7" x14ac:dyDescent="0.3">
      <c r="A318" s="5">
        <v>620264.19999999995</v>
      </c>
      <c r="B318" s="5">
        <v>76614.320000000007</v>
      </c>
      <c r="C318" s="5">
        <v>5639</v>
      </c>
      <c r="D318" s="5">
        <v>92.9</v>
      </c>
      <c r="E318">
        <v>1</v>
      </c>
      <c r="F318">
        <v>0</v>
      </c>
      <c r="G318">
        <v>0</v>
      </c>
    </row>
    <row r="319" spans="1:7" x14ac:dyDescent="0.3">
      <c r="A319" s="5">
        <v>536845.42000000004</v>
      </c>
      <c r="B319" s="5">
        <v>24088.06</v>
      </c>
      <c r="C319" s="5">
        <v>3466</v>
      </c>
      <c r="D319" s="5">
        <v>88</v>
      </c>
      <c r="E319">
        <v>1</v>
      </c>
      <c r="F319">
        <v>0</v>
      </c>
      <c r="G319">
        <v>0</v>
      </c>
    </row>
    <row r="320" spans="1:7" x14ac:dyDescent="0.3">
      <c r="A320" s="5">
        <v>726776.22</v>
      </c>
      <c r="B320" s="5">
        <v>81902.58</v>
      </c>
      <c r="C320" s="5">
        <v>7775</v>
      </c>
      <c r="D320" s="5">
        <v>85.2</v>
      </c>
      <c r="E320">
        <v>1</v>
      </c>
      <c r="F320">
        <v>0</v>
      </c>
      <c r="G320">
        <v>0</v>
      </c>
    </row>
    <row r="321" spans="1:7" x14ac:dyDescent="0.3">
      <c r="A321" s="5">
        <v>559660.84</v>
      </c>
      <c r="B321" s="5">
        <v>40553.11</v>
      </c>
      <c r="C321" s="5">
        <v>5317</v>
      </c>
      <c r="D321" s="5">
        <v>84.3</v>
      </c>
      <c r="E321">
        <v>1</v>
      </c>
      <c r="F321">
        <v>0</v>
      </c>
      <c r="G3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workbookViewId="0">
      <selection activeCell="M70" sqref="M70"/>
    </sheetView>
  </sheetViews>
  <sheetFormatPr defaultRowHeight="14.4" x14ac:dyDescent="0.3"/>
  <cols>
    <col min="1" max="1" width="12.6640625" bestFit="1" customWidth="1"/>
    <col min="2" max="2" width="15" bestFit="1" customWidth="1"/>
    <col min="3" max="3" width="16.77734375" customWidth="1"/>
    <col min="4" max="4" width="22.21875" bestFit="1" customWidth="1"/>
    <col min="5" max="5" width="23.77734375" customWidth="1"/>
    <col min="6" max="6" width="13.5546875" customWidth="1"/>
    <col min="7" max="7" width="14.88671875" customWidth="1"/>
    <col min="8" max="8" width="14.33203125" customWidth="1"/>
    <col min="9" max="9" width="15.6640625" customWidth="1"/>
    <col min="10" max="10" width="9.6640625" customWidth="1"/>
  </cols>
  <sheetData>
    <row r="1" spans="1:10" x14ac:dyDescent="0.3">
      <c r="A1" s="4" t="s">
        <v>0</v>
      </c>
      <c r="B1" t="s">
        <v>12</v>
      </c>
      <c r="C1" t="s">
        <v>4</v>
      </c>
      <c r="D1" t="s">
        <v>5</v>
      </c>
      <c r="E1" t="s">
        <v>8</v>
      </c>
      <c r="F1" t="s">
        <v>106</v>
      </c>
      <c r="G1" t="s">
        <v>107</v>
      </c>
      <c r="H1" t="s">
        <v>108</v>
      </c>
      <c r="I1" t="s">
        <v>133</v>
      </c>
      <c r="J1" t="s">
        <v>118</v>
      </c>
    </row>
    <row r="2" spans="1:10" x14ac:dyDescent="0.3">
      <c r="A2" s="5" t="s">
        <v>14</v>
      </c>
      <c r="B2">
        <v>658832.62</v>
      </c>
      <c r="C2">
        <v>70389.11</v>
      </c>
      <c r="D2">
        <v>8302</v>
      </c>
      <c r="E2">
        <v>75</v>
      </c>
      <c r="F2">
        <v>1</v>
      </c>
      <c r="G2">
        <v>0</v>
      </c>
      <c r="H2">
        <v>0</v>
      </c>
      <c r="I2">
        <f t="shared" ref="I2:I65" si="0">153400.7954+1.18591413*C2+33.87042078*D2+2818.206779*E2-21940.48828*F2-11393.10865*G2-4449.116708*H2</f>
        <v>707493.48900768429</v>
      </c>
      <c r="J2">
        <f t="shared" ref="J2:J65" si="1">B2-I2</f>
        <v>-48660.86900768429</v>
      </c>
    </row>
    <row r="3" spans="1:10" x14ac:dyDescent="0.3">
      <c r="A3" s="5" t="s">
        <v>14</v>
      </c>
      <c r="B3">
        <v>634436</v>
      </c>
      <c r="C3">
        <v>43827.89</v>
      </c>
      <c r="D3">
        <v>8487</v>
      </c>
      <c r="E3">
        <v>84.4</v>
      </c>
      <c r="F3">
        <v>1</v>
      </c>
      <c r="G3">
        <v>0</v>
      </c>
      <c r="H3">
        <v>0</v>
      </c>
      <c r="I3">
        <f t="shared" si="0"/>
        <v>708751.33446654573</v>
      </c>
      <c r="J3">
        <f t="shared" si="1"/>
        <v>-74315.334466545726</v>
      </c>
    </row>
    <row r="4" spans="1:10" x14ac:dyDescent="0.3">
      <c r="A4" s="5" t="s">
        <v>14</v>
      </c>
      <c r="B4">
        <v>678722.06</v>
      </c>
      <c r="C4">
        <v>59921.75</v>
      </c>
      <c r="D4">
        <v>9113</v>
      </c>
      <c r="E4">
        <v>88</v>
      </c>
      <c r="F4">
        <v>1</v>
      </c>
      <c r="G4">
        <v>0</v>
      </c>
      <c r="H4">
        <v>0</v>
      </c>
      <c r="I4">
        <f t="shared" si="0"/>
        <v>759185.69825946749</v>
      </c>
      <c r="J4">
        <f t="shared" si="1"/>
        <v>-80463.638259467436</v>
      </c>
    </row>
    <row r="5" spans="1:10" x14ac:dyDescent="0.3">
      <c r="A5" s="5" t="s">
        <v>14</v>
      </c>
      <c r="B5">
        <v>658920.30000000005</v>
      </c>
      <c r="C5">
        <v>56856.63</v>
      </c>
      <c r="D5">
        <v>9431</v>
      </c>
      <c r="E5">
        <v>86.9</v>
      </c>
      <c r="F5">
        <v>1</v>
      </c>
      <c r="G5">
        <v>0</v>
      </c>
      <c r="H5">
        <v>0</v>
      </c>
      <c r="I5">
        <f t="shared" si="0"/>
        <v>763221.49549246184</v>
      </c>
      <c r="J5">
        <f t="shared" si="1"/>
        <v>-104301.19549246179</v>
      </c>
    </row>
    <row r="6" spans="1:10" x14ac:dyDescent="0.3">
      <c r="A6" s="5" t="s">
        <v>21</v>
      </c>
      <c r="B6">
        <v>741341.44</v>
      </c>
      <c r="C6">
        <v>48412.639999999999</v>
      </c>
      <c r="D6">
        <v>9545</v>
      </c>
      <c r="E6">
        <v>97.6</v>
      </c>
      <c r="F6">
        <v>1</v>
      </c>
      <c r="G6">
        <v>0</v>
      </c>
      <c r="H6">
        <v>0</v>
      </c>
      <c r="I6">
        <f t="shared" si="0"/>
        <v>787223.6889421033</v>
      </c>
      <c r="J6">
        <f t="shared" si="1"/>
        <v>-45882.248942103353</v>
      </c>
    </row>
    <row r="7" spans="1:10" x14ac:dyDescent="0.3">
      <c r="A7" s="5" t="s">
        <v>21</v>
      </c>
      <c r="B7">
        <v>761835.34</v>
      </c>
      <c r="C7">
        <v>64811.21</v>
      </c>
      <c r="D7">
        <v>9792</v>
      </c>
      <c r="E7">
        <v>84.2</v>
      </c>
      <c r="F7">
        <v>1</v>
      </c>
      <c r="G7">
        <v>0</v>
      </c>
      <c r="H7">
        <v>0</v>
      </c>
      <c r="I7">
        <f t="shared" si="0"/>
        <v>777273.00791095721</v>
      </c>
      <c r="J7">
        <f t="shared" si="1"/>
        <v>-15437.667910957243</v>
      </c>
    </row>
    <row r="8" spans="1:10" x14ac:dyDescent="0.3">
      <c r="A8" s="5" t="s">
        <v>21</v>
      </c>
      <c r="B8">
        <v>806615.54</v>
      </c>
      <c r="C8">
        <v>46213.45</v>
      </c>
      <c r="D8">
        <v>10616</v>
      </c>
      <c r="E8">
        <v>85.2</v>
      </c>
      <c r="F8">
        <v>1</v>
      </c>
      <c r="G8">
        <v>0</v>
      </c>
      <c r="H8">
        <v>0</v>
      </c>
      <c r="I8">
        <f t="shared" si="0"/>
        <v>785945.09504232847</v>
      </c>
      <c r="J8">
        <f t="shared" si="1"/>
        <v>20670.444957671571</v>
      </c>
    </row>
    <row r="9" spans="1:10" x14ac:dyDescent="0.3">
      <c r="A9" s="5" t="s">
        <v>21</v>
      </c>
      <c r="B9">
        <v>850164.26</v>
      </c>
      <c r="C9">
        <v>68148.52</v>
      </c>
      <c r="D9">
        <v>8567</v>
      </c>
      <c r="E9">
        <v>95.6</v>
      </c>
      <c r="F9">
        <v>1</v>
      </c>
      <c r="G9">
        <v>0</v>
      </c>
      <c r="H9">
        <v>0</v>
      </c>
      <c r="I9">
        <f t="shared" si="0"/>
        <v>771867.0628212475</v>
      </c>
      <c r="J9">
        <f t="shared" si="1"/>
        <v>78297.197178752511</v>
      </c>
    </row>
    <row r="10" spans="1:10" x14ac:dyDescent="0.3">
      <c r="A10" s="5" t="s">
        <v>23</v>
      </c>
      <c r="B10">
        <v>930581.7</v>
      </c>
      <c r="C10">
        <v>71838.86</v>
      </c>
      <c r="D10">
        <v>10979</v>
      </c>
      <c r="E10">
        <v>88.6</v>
      </c>
      <c r="F10">
        <v>0</v>
      </c>
      <c r="G10">
        <v>1</v>
      </c>
      <c r="H10">
        <v>0</v>
      </c>
      <c r="I10">
        <f t="shared" si="0"/>
        <v>848758.87627011177</v>
      </c>
      <c r="J10">
        <f t="shared" si="1"/>
        <v>81822.823729888187</v>
      </c>
    </row>
    <row r="11" spans="1:10" x14ac:dyDescent="0.3">
      <c r="A11" s="5" t="s">
        <v>23</v>
      </c>
      <c r="B11">
        <v>779010.94</v>
      </c>
      <c r="C11">
        <v>68133.440000000002</v>
      </c>
      <c r="D11">
        <v>9459</v>
      </c>
      <c r="E11">
        <v>85</v>
      </c>
      <c r="F11">
        <v>0</v>
      </c>
      <c r="G11">
        <v>1</v>
      </c>
      <c r="H11">
        <v>0</v>
      </c>
      <c r="I11">
        <f t="shared" si="0"/>
        <v>782735.98234452726</v>
      </c>
      <c r="J11">
        <f t="shared" si="1"/>
        <v>-3725.0423445273191</v>
      </c>
    </row>
    <row r="12" spans="1:10" x14ac:dyDescent="0.3">
      <c r="A12" s="5" t="s">
        <v>23</v>
      </c>
      <c r="B12">
        <v>723060.76</v>
      </c>
      <c r="C12">
        <v>34285.21</v>
      </c>
      <c r="D12">
        <v>9172</v>
      </c>
      <c r="E12">
        <v>88.3</v>
      </c>
      <c r="F12">
        <v>0</v>
      </c>
      <c r="G12">
        <v>1</v>
      </c>
      <c r="H12">
        <v>0</v>
      </c>
      <c r="I12">
        <f t="shared" si="0"/>
        <v>742174.1597188774</v>
      </c>
      <c r="J12">
        <f t="shared" si="1"/>
        <v>-19113.399718877394</v>
      </c>
    </row>
    <row r="13" spans="1:10" x14ac:dyDescent="0.3">
      <c r="A13" s="5" t="s">
        <v>23</v>
      </c>
      <c r="B13">
        <v>910791.94</v>
      </c>
      <c r="C13">
        <v>67979.88</v>
      </c>
      <c r="D13">
        <v>11230</v>
      </c>
      <c r="E13">
        <v>85.3</v>
      </c>
      <c r="F13">
        <v>0</v>
      </c>
      <c r="G13">
        <v>1</v>
      </c>
      <c r="H13">
        <v>0</v>
      </c>
      <c r="I13">
        <f t="shared" si="0"/>
        <v>843383.85060580447</v>
      </c>
      <c r="J13">
        <f t="shared" si="1"/>
        <v>67408.089394195471</v>
      </c>
    </row>
    <row r="14" spans="1:10" x14ac:dyDescent="0.3">
      <c r="A14" s="5" t="s">
        <v>26</v>
      </c>
      <c r="B14">
        <v>922168.6</v>
      </c>
      <c r="C14">
        <v>71828.259999999995</v>
      </c>
      <c r="D14">
        <v>12775</v>
      </c>
      <c r="E14">
        <v>81.7</v>
      </c>
      <c r="F14">
        <v>1</v>
      </c>
      <c r="G14">
        <v>0</v>
      </c>
      <c r="H14">
        <v>0</v>
      </c>
      <c r="I14">
        <f t="shared" si="0"/>
        <v>879584.57489611383</v>
      </c>
      <c r="J14">
        <f t="shared" si="1"/>
        <v>42584.025103886146</v>
      </c>
    </row>
    <row r="15" spans="1:10" x14ac:dyDescent="0.3">
      <c r="A15" s="5" t="s">
        <v>26</v>
      </c>
      <c r="B15">
        <v>726606.28</v>
      </c>
      <c r="C15">
        <v>55716.82</v>
      </c>
      <c r="D15">
        <v>10054</v>
      </c>
      <c r="E15">
        <v>84.9</v>
      </c>
      <c r="F15">
        <v>1</v>
      </c>
      <c r="G15">
        <v>0</v>
      </c>
      <c r="H15">
        <v>0</v>
      </c>
      <c r="I15">
        <f t="shared" si="0"/>
        <v>777334.63729588664</v>
      </c>
      <c r="J15">
        <f t="shared" si="1"/>
        <v>-50728.357295886613</v>
      </c>
    </row>
    <row r="16" spans="1:10" x14ac:dyDescent="0.3">
      <c r="A16" s="5" t="s">
        <v>26</v>
      </c>
      <c r="B16">
        <v>746501.09</v>
      </c>
      <c r="C16">
        <v>59909.51</v>
      </c>
      <c r="D16">
        <v>8895</v>
      </c>
      <c r="E16">
        <v>88.8</v>
      </c>
      <c r="F16">
        <v>1</v>
      </c>
      <c r="G16">
        <v>0</v>
      </c>
      <c r="H16">
        <v>0</v>
      </c>
      <c r="I16">
        <f t="shared" si="0"/>
        <v>754041.99636367639</v>
      </c>
      <c r="J16">
        <f t="shared" si="1"/>
        <v>-7540.9063636764186</v>
      </c>
    </row>
    <row r="17" spans="1:10" x14ac:dyDescent="0.3">
      <c r="A17" s="5" t="s">
        <v>26</v>
      </c>
      <c r="B17">
        <v>834017.02</v>
      </c>
      <c r="C17">
        <v>75305.710000000006</v>
      </c>
      <c r="D17">
        <v>10940</v>
      </c>
      <c r="E17">
        <v>76.5</v>
      </c>
      <c r="F17">
        <v>1</v>
      </c>
      <c r="G17">
        <v>0</v>
      </c>
      <c r="H17">
        <v>0</v>
      </c>
      <c r="I17">
        <f t="shared" si="0"/>
        <v>806901.63460538222</v>
      </c>
      <c r="J17">
        <f t="shared" si="1"/>
        <v>27115.385394617799</v>
      </c>
    </row>
    <row r="18" spans="1:10" x14ac:dyDescent="0.3">
      <c r="A18" s="5" t="s">
        <v>27</v>
      </c>
      <c r="B18">
        <v>666152.52</v>
      </c>
      <c r="C18">
        <v>48804.22</v>
      </c>
      <c r="D18">
        <v>7057</v>
      </c>
      <c r="E18">
        <v>87.7</v>
      </c>
      <c r="F18">
        <v>0</v>
      </c>
      <c r="G18">
        <v>0</v>
      </c>
      <c r="H18">
        <v>0</v>
      </c>
      <c r="I18">
        <f t="shared" si="0"/>
        <v>697458.70346438861</v>
      </c>
      <c r="J18">
        <f t="shared" si="1"/>
        <v>-31306.183464388596</v>
      </c>
    </row>
    <row r="19" spans="1:10" x14ac:dyDescent="0.3">
      <c r="A19" s="5" t="s">
        <v>27</v>
      </c>
      <c r="B19">
        <v>573155.18999999994</v>
      </c>
      <c r="C19">
        <v>59117.9</v>
      </c>
      <c r="D19">
        <v>4263</v>
      </c>
      <c r="E19">
        <v>87.6</v>
      </c>
      <c r="F19">
        <v>0</v>
      </c>
      <c r="G19">
        <v>0</v>
      </c>
      <c r="H19">
        <v>0</v>
      </c>
      <c r="I19">
        <f t="shared" si="0"/>
        <v>614774.06597146695</v>
      </c>
      <c r="J19">
        <f t="shared" si="1"/>
        <v>-41618.875971467001</v>
      </c>
    </row>
    <row r="20" spans="1:10" x14ac:dyDescent="0.3">
      <c r="A20" s="5" t="s">
        <v>27</v>
      </c>
      <c r="B20">
        <v>666573.19999999995</v>
      </c>
      <c r="C20">
        <v>78831.12</v>
      </c>
      <c r="D20">
        <v>5538</v>
      </c>
      <c r="E20">
        <v>94.1</v>
      </c>
      <c r="F20">
        <v>0</v>
      </c>
      <c r="G20">
        <v>0</v>
      </c>
      <c r="H20">
        <v>0</v>
      </c>
      <c r="I20">
        <f t="shared" si="0"/>
        <v>699655.38267526566</v>
      </c>
      <c r="J20">
        <f t="shared" si="1"/>
        <v>-33082.182675265707</v>
      </c>
    </row>
    <row r="21" spans="1:10" x14ac:dyDescent="0.3">
      <c r="A21" s="5" t="s">
        <v>27</v>
      </c>
      <c r="B21">
        <v>591619.94999999995</v>
      </c>
      <c r="C21">
        <v>41441.93</v>
      </c>
      <c r="D21">
        <v>4865</v>
      </c>
      <c r="E21">
        <v>88.3</v>
      </c>
      <c r="F21">
        <v>0</v>
      </c>
      <c r="G21">
        <v>0</v>
      </c>
      <c r="H21">
        <v>0</v>
      </c>
      <c r="I21">
        <f t="shared" si="0"/>
        <v>616174.62144187093</v>
      </c>
      <c r="J21">
        <f t="shared" si="1"/>
        <v>-24554.671441870974</v>
      </c>
    </row>
    <row r="22" spans="1:10" x14ac:dyDescent="0.3">
      <c r="A22" s="5" t="s">
        <v>29</v>
      </c>
      <c r="B22">
        <v>415721.82</v>
      </c>
      <c r="C22">
        <v>30356.28</v>
      </c>
      <c r="D22">
        <v>2822</v>
      </c>
      <c r="E22">
        <v>84.8</v>
      </c>
      <c r="F22">
        <v>0</v>
      </c>
      <c r="G22">
        <v>1</v>
      </c>
      <c r="H22">
        <v>0</v>
      </c>
      <c r="I22">
        <f t="shared" si="0"/>
        <v>512573.89043659641</v>
      </c>
      <c r="J22">
        <f t="shared" si="1"/>
        <v>-96852.070436596405</v>
      </c>
    </row>
    <row r="23" spans="1:10" x14ac:dyDescent="0.3">
      <c r="A23" s="5" t="s">
        <v>29</v>
      </c>
      <c r="B23">
        <v>491905.13</v>
      </c>
      <c r="C23">
        <v>33518.879999999997</v>
      </c>
      <c r="D23">
        <v>2121</v>
      </c>
      <c r="E23">
        <v>88.5</v>
      </c>
      <c r="F23">
        <v>0</v>
      </c>
      <c r="G23">
        <v>1</v>
      </c>
      <c r="H23">
        <v>0</v>
      </c>
      <c r="I23">
        <f t="shared" si="0"/>
        <v>503008.66257965442</v>
      </c>
      <c r="J23">
        <f t="shared" si="1"/>
        <v>-11103.53257965442</v>
      </c>
    </row>
    <row r="24" spans="1:10" x14ac:dyDescent="0.3">
      <c r="A24" s="5" t="s">
        <v>29</v>
      </c>
      <c r="B24">
        <v>555929.4</v>
      </c>
      <c r="C24">
        <v>42267.37</v>
      </c>
      <c r="D24">
        <v>3364</v>
      </c>
      <c r="E24">
        <v>82</v>
      </c>
      <c r="F24">
        <v>0</v>
      </c>
      <c r="G24">
        <v>1</v>
      </c>
      <c r="H24">
        <v>0</v>
      </c>
      <c r="I24">
        <f t="shared" si="0"/>
        <v>537166.20945285808</v>
      </c>
      <c r="J24">
        <f t="shared" si="1"/>
        <v>18763.190547141945</v>
      </c>
    </row>
    <row r="25" spans="1:10" x14ac:dyDescent="0.3">
      <c r="A25" s="5" t="s">
        <v>29</v>
      </c>
      <c r="B25">
        <v>565810.99</v>
      </c>
      <c r="C25">
        <v>62060.43</v>
      </c>
      <c r="D25">
        <v>2613</v>
      </c>
      <c r="E25">
        <v>92.1</v>
      </c>
      <c r="F25">
        <v>0</v>
      </c>
      <c r="G25">
        <v>1</v>
      </c>
      <c r="H25">
        <v>0</v>
      </c>
      <c r="I25">
        <f t="shared" si="0"/>
        <v>563666.28144491592</v>
      </c>
      <c r="J25">
        <f t="shared" si="1"/>
        <v>2144.7085550840711</v>
      </c>
    </row>
    <row r="26" spans="1:10" x14ac:dyDescent="0.3">
      <c r="A26" s="5" t="s">
        <v>30</v>
      </c>
      <c r="B26">
        <v>811771.14</v>
      </c>
      <c r="C26">
        <v>57696.69</v>
      </c>
      <c r="D26">
        <v>10218</v>
      </c>
      <c r="E26">
        <v>94.8</v>
      </c>
      <c r="F26">
        <v>0</v>
      </c>
      <c r="G26">
        <v>0</v>
      </c>
      <c r="H26">
        <v>1</v>
      </c>
      <c r="I26">
        <f t="shared" si="0"/>
        <v>830628.96079646982</v>
      </c>
      <c r="J26">
        <f t="shared" si="1"/>
        <v>-18857.820796469809</v>
      </c>
    </row>
    <row r="27" spans="1:10" x14ac:dyDescent="0.3">
      <c r="A27" s="5" t="s">
        <v>30</v>
      </c>
      <c r="B27">
        <v>800451.94</v>
      </c>
      <c r="C27">
        <v>172415.52</v>
      </c>
      <c r="D27">
        <v>8927</v>
      </c>
      <c r="E27">
        <v>86.2</v>
      </c>
      <c r="F27">
        <v>0</v>
      </c>
      <c r="G27">
        <v>0</v>
      </c>
      <c r="H27">
        <v>1</v>
      </c>
      <c r="I27">
        <f t="shared" si="0"/>
        <v>898712.35074415756</v>
      </c>
      <c r="J27">
        <f t="shared" si="1"/>
        <v>-98260.41074415762</v>
      </c>
    </row>
    <row r="28" spans="1:10" x14ac:dyDescent="0.3">
      <c r="A28" s="5" t="s">
        <v>30</v>
      </c>
      <c r="B28">
        <v>783672.82</v>
      </c>
      <c r="C28">
        <v>55270.52</v>
      </c>
      <c r="D28">
        <v>9315</v>
      </c>
      <c r="E28">
        <v>91.9</v>
      </c>
      <c r="F28">
        <v>0</v>
      </c>
      <c r="G28">
        <v>0</v>
      </c>
      <c r="H28">
        <v>1</v>
      </c>
      <c r="I28">
        <f t="shared" si="0"/>
        <v>788993.94188824773</v>
      </c>
      <c r="J28">
        <f t="shared" si="1"/>
        <v>-5321.1218882477842</v>
      </c>
    </row>
    <row r="29" spans="1:10" x14ac:dyDescent="0.3">
      <c r="A29" s="5" t="s">
        <v>30</v>
      </c>
      <c r="B29">
        <v>701641.97</v>
      </c>
      <c r="C29">
        <v>52715.1</v>
      </c>
      <c r="D29">
        <v>7223</v>
      </c>
      <c r="E29">
        <v>84.2</v>
      </c>
      <c r="F29">
        <v>0</v>
      </c>
      <c r="G29">
        <v>0</v>
      </c>
      <c r="H29">
        <v>1</v>
      </c>
      <c r="I29">
        <f t="shared" si="0"/>
        <v>693406.32073210308</v>
      </c>
      <c r="J29">
        <f t="shared" si="1"/>
        <v>8235.6492678968934</v>
      </c>
    </row>
    <row r="30" spans="1:10" x14ac:dyDescent="0.3">
      <c r="A30" s="5" t="s">
        <v>33</v>
      </c>
      <c r="B30">
        <v>511844.41</v>
      </c>
      <c r="C30">
        <v>68600.62</v>
      </c>
      <c r="D30">
        <v>3988</v>
      </c>
      <c r="E30">
        <v>85</v>
      </c>
      <c r="F30">
        <v>1</v>
      </c>
      <c r="G30">
        <v>0</v>
      </c>
      <c r="H30">
        <v>0</v>
      </c>
      <c r="I30">
        <f t="shared" si="0"/>
        <v>587437.56599040062</v>
      </c>
      <c r="J30">
        <f t="shared" si="1"/>
        <v>-75593.155990400643</v>
      </c>
    </row>
    <row r="31" spans="1:10" x14ac:dyDescent="0.3">
      <c r="A31" s="5" t="s">
        <v>33</v>
      </c>
      <c r="B31">
        <v>537383.79</v>
      </c>
      <c r="C31">
        <v>63176.73</v>
      </c>
      <c r="D31">
        <v>2390</v>
      </c>
      <c r="E31">
        <v>87.5</v>
      </c>
      <c r="F31">
        <v>1</v>
      </c>
      <c r="G31">
        <v>0</v>
      </c>
      <c r="H31">
        <v>0</v>
      </c>
      <c r="I31">
        <f t="shared" si="0"/>
        <v>533925.88274089491</v>
      </c>
      <c r="J31">
        <f t="shared" si="1"/>
        <v>3457.9072591051226</v>
      </c>
    </row>
    <row r="32" spans="1:10" x14ac:dyDescent="0.3">
      <c r="A32" s="5" t="s">
        <v>33</v>
      </c>
      <c r="B32">
        <v>500173.02</v>
      </c>
      <c r="C32">
        <v>44970.080000000002</v>
      </c>
      <c r="D32">
        <v>2471</v>
      </c>
      <c r="E32">
        <v>87.6</v>
      </c>
      <c r="F32">
        <v>1</v>
      </c>
      <c r="G32">
        <v>0</v>
      </c>
      <c r="H32">
        <v>0</v>
      </c>
      <c r="I32">
        <f t="shared" si="0"/>
        <v>515359.68400701036</v>
      </c>
      <c r="J32">
        <f t="shared" si="1"/>
        <v>-15186.664007010346</v>
      </c>
    </row>
    <row r="33" spans="1:10" x14ac:dyDescent="0.3">
      <c r="A33" s="5" t="s">
        <v>33</v>
      </c>
      <c r="B33">
        <v>427917.38</v>
      </c>
      <c r="C33">
        <v>69816.350000000006</v>
      </c>
      <c r="D33">
        <v>971</v>
      </c>
      <c r="E33">
        <v>89.9</v>
      </c>
      <c r="F33">
        <v>1</v>
      </c>
      <c r="G33">
        <v>0</v>
      </c>
      <c r="H33">
        <v>0</v>
      </c>
      <c r="I33">
        <f t="shared" si="0"/>
        <v>500501.47109950555</v>
      </c>
      <c r="J33">
        <f t="shared" si="1"/>
        <v>-72584.091099505546</v>
      </c>
    </row>
    <row r="34" spans="1:10" x14ac:dyDescent="0.3">
      <c r="A34" s="5" t="s">
        <v>34</v>
      </c>
      <c r="B34">
        <v>641865.03</v>
      </c>
      <c r="C34">
        <v>54597.83</v>
      </c>
      <c r="D34">
        <v>9429</v>
      </c>
      <c r="E34">
        <v>83.3</v>
      </c>
      <c r="F34">
        <v>0</v>
      </c>
      <c r="G34">
        <v>1</v>
      </c>
      <c r="H34">
        <v>0</v>
      </c>
      <c r="I34">
        <f t="shared" si="0"/>
        <v>760876.84703965788</v>
      </c>
      <c r="J34">
        <f t="shared" si="1"/>
        <v>-119011.81703965785</v>
      </c>
    </row>
    <row r="35" spans="1:10" x14ac:dyDescent="0.3">
      <c r="A35" s="5" t="s">
        <v>34</v>
      </c>
      <c r="B35">
        <v>799477.76000000001</v>
      </c>
      <c r="C35">
        <v>73771.91</v>
      </c>
      <c r="D35">
        <v>11695</v>
      </c>
      <c r="E35">
        <v>84.7</v>
      </c>
      <c r="F35">
        <v>0</v>
      </c>
      <c r="G35">
        <v>1</v>
      </c>
      <c r="H35">
        <v>0</v>
      </c>
      <c r="I35">
        <f t="shared" si="0"/>
        <v>864311.52241948852</v>
      </c>
      <c r="J35">
        <f t="shared" si="1"/>
        <v>-64833.762419488514</v>
      </c>
    </row>
    <row r="36" spans="1:10" x14ac:dyDescent="0.3">
      <c r="A36" s="5" t="s">
        <v>34</v>
      </c>
      <c r="B36">
        <v>798952.17</v>
      </c>
      <c r="C36">
        <v>74413.88</v>
      </c>
      <c r="D36">
        <v>9449</v>
      </c>
      <c r="E36">
        <v>92.1</v>
      </c>
      <c r="F36">
        <v>0</v>
      </c>
      <c r="G36">
        <v>1</v>
      </c>
      <c r="H36">
        <v>0</v>
      </c>
      <c r="I36">
        <f t="shared" si="0"/>
        <v>809854.60880624445</v>
      </c>
      <c r="J36">
        <f t="shared" si="1"/>
        <v>-10902.438806244405</v>
      </c>
    </row>
    <row r="37" spans="1:10" x14ac:dyDescent="0.3">
      <c r="A37" s="5" t="s">
        <v>34</v>
      </c>
      <c r="B37">
        <v>800979.78</v>
      </c>
      <c r="C37">
        <v>52483.77</v>
      </c>
      <c r="D37">
        <v>10453</v>
      </c>
      <c r="E37">
        <v>99</v>
      </c>
      <c r="F37">
        <v>0</v>
      </c>
      <c r="G37">
        <v>1</v>
      </c>
      <c r="H37">
        <v>0</v>
      </c>
      <c r="I37">
        <f t="shared" si="0"/>
        <v>837298.91072301019</v>
      </c>
      <c r="J37">
        <f t="shared" si="1"/>
        <v>-36319.130723010167</v>
      </c>
    </row>
    <row r="38" spans="1:10" x14ac:dyDescent="0.3">
      <c r="A38" s="5" t="s">
        <v>35</v>
      </c>
      <c r="B38">
        <v>820593.93</v>
      </c>
      <c r="C38">
        <v>75269.87</v>
      </c>
      <c r="D38">
        <v>8838</v>
      </c>
      <c r="E38">
        <v>83.1</v>
      </c>
      <c r="F38">
        <v>0</v>
      </c>
      <c r="G38">
        <v>1</v>
      </c>
      <c r="H38">
        <v>0</v>
      </c>
      <c r="I38">
        <f t="shared" si="0"/>
        <v>764811.05133480323</v>
      </c>
      <c r="J38">
        <f t="shared" si="1"/>
        <v>55782.878665196826</v>
      </c>
    </row>
    <row r="39" spans="1:10" x14ac:dyDescent="0.3">
      <c r="A39" s="5" t="s">
        <v>35</v>
      </c>
      <c r="B39">
        <v>718330.53</v>
      </c>
      <c r="C39">
        <v>61245.41</v>
      </c>
      <c r="D39">
        <v>8156</v>
      </c>
      <c r="E39">
        <v>92.9</v>
      </c>
      <c r="F39">
        <v>0</v>
      </c>
      <c r="G39">
        <v>1</v>
      </c>
      <c r="H39">
        <v>0</v>
      </c>
      <c r="I39">
        <f t="shared" si="0"/>
        <v>752698.04551742331</v>
      </c>
      <c r="J39">
        <f t="shared" si="1"/>
        <v>-34367.515517423279</v>
      </c>
    </row>
    <row r="40" spans="1:10" x14ac:dyDescent="0.3">
      <c r="A40" s="5" t="s">
        <v>35</v>
      </c>
      <c r="B40">
        <v>736633.4</v>
      </c>
      <c r="C40">
        <v>93381.26</v>
      </c>
      <c r="D40">
        <v>7562</v>
      </c>
      <c r="E40">
        <v>82.9</v>
      </c>
      <c r="F40">
        <v>0</v>
      </c>
      <c r="G40">
        <v>1</v>
      </c>
      <c r="H40">
        <v>0</v>
      </c>
      <c r="I40">
        <f t="shared" si="0"/>
        <v>742507.30637866387</v>
      </c>
      <c r="J40">
        <f t="shared" si="1"/>
        <v>-5873.9063786638435</v>
      </c>
    </row>
    <row r="41" spans="1:10" x14ac:dyDescent="0.3">
      <c r="A41" s="5" t="s">
        <v>35</v>
      </c>
      <c r="B41">
        <v>828623.85</v>
      </c>
      <c r="C41">
        <v>65012.19</v>
      </c>
      <c r="D41">
        <v>9598</v>
      </c>
      <c r="E41">
        <v>98.3</v>
      </c>
      <c r="F41">
        <v>0</v>
      </c>
      <c r="G41">
        <v>1</v>
      </c>
      <c r="H41">
        <v>0</v>
      </c>
      <c r="I41">
        <f t="shared" si="0"/>
        <v>821224.58651538473</v>
      </c>
      <c r="J41">
        <f t="shared" si="1"/>
        <v>7399.2634846152505</v>
      </c>
    </row>
    <row r="42" spans="1:10" x14ac:dyDescent="0.3">
      <c r="A42" s="5" t="s">
        <v>36</v>
      </c>
      <c r="B42">
        <v>592195.85</v>
      </c>
      <c r="C42">
        <v>40462.94</v>
      </c>
      <c r="D42">
        <v>3660</v>
      </c>
      <c r="E42">
        <v>95.2</v>
      </c>
      <c r="F42">
        <v>1</v>
      </c>
      <c r="G42">
        <v>0</v>
      </c>
      <c r="H42">
        <v>0</v>
      </c>
      <c r="I42">
        <f t="shared" si="0"/>
        <v>571704.90482294222</v>
      </c>
      <c r="J42">
        <f t="shared" si="1"/>
        <v>20490.945177057758</v>
      </c>
    </row>
    <row r="43" spans="1:10" x14ac:dyDescent="0.3">
      <c r="A43" s="5" t="s">
        <v>36</v>
      </c>
      <c r="B43">
        <v>532644.46</v>
      </c>
      <c r="C43">
        <v>46123.88</v>
      </c>
      <c r="D43">
        <v>3227</v>
      </c>
      <c r="E43">
        <v>75.400000000000006</v>
      </c>
      <c r="F43">
        <v>1</v>
      </c>
      <c r="G43">
        <v>0</v>
      </c>
      <c r="H43">
        <v>0</v>
      </c>
      <c r="I43">
        <f t="shared" si="0"/>
        <v>507951.90713608445</v>
      </c>
      <c r="J43">
        <f t="shared" si="1"/>
        <v>24692.552863915509</v>
      </c>
    </row>
    <row r="44" spans="1:10" x14ac:dyDescent="0.3">
      <c r="A44" s="5" t="s">
        <v>36</v>
      </c>
      <c r="B44">
        <v>657429.18000000005</v>
      </c>
      <c r="C44">
        <v>68077.539999999994</v>
      </c>
      <c r="D44">
        <v>3360</v>
      </c>
      <c r="E44">
        <v>88.2</v>
      </c>
      <c r="F44">
        <v>1</v>
      </c>
      <c r="G44">
        <v>0</v>
      </c>
      <c r="H44">
        <v>0</v>
      </c>
      <c r="I44">
        <f t="shared" si="0"/>
        <v>574564.87547024013</v>
      </c>
      <c r="J44">
        <f t="shared" si="1"/>
        <v>82864.304529759916</v>
      </c>
    </row>
    <row r="45" spans="1:10" x14ac:dyDescent="0.3">
      <c r="A45" s="5" t="s">
        <v>36</v>
      </c>
      <c r="B45">
        <v>605178</v>
      </c>
      <c r="C45">
        <v>64882.14</v>
      </c>
      <c r="D45">
        <v>3642</v>
      </c>
      <c r="E45">
        <v>87.8</v>
      </c>
      <c r="F45">
        <v>1</v>
      </c>
      <c r="G45">
        <v>0</v>
      </c>
      <c r="H45">
        <v>0</v>
      </c>
      <c r="I45">
        <f t="shared" si="0"/>
        <v>579199.5814075981</v>
      </c>
      <c r="J45">
        <f t="shared" si="1"/>
        <v>25978.418592401897</v>
      </c>
    </row>
    <row r="46" spans="1:10" x14ac:dyDescent="0.3">
      <c r="A46" s="5" t="s">
        <v>37</v>
      </c>
      <c r="B46">
        <v>595467.6</v>
      </c>
      <c r="C46">
        <v>138855.51</v>
      </c>
      <c r="D46">
        <v>5145</v>
      </c>
      <c r="E46">
        <v>88.2</v>
      </c>
      <c r="F46">
        <v>0</v>
      </c>
      <c r="G46">
        <v>0</v>
      </c>
      <c r="H46">
        <v>1</v>
      </c>
      <c r="I46">
        <f t="shared" si="0"/>
        <v>736451.54285025632</v>
      </c>
      <c r="J46">
        <f t="shared" si="1"/>
        <v>-140983.94285025634</v>
      </c>
    </row>
    <row r="47" spans="1:10" x14ac:dyDescent="0.3">
      <c r="A47" s="5" t="s">
        <v>37</v>
      </c>
      <c r="B47">
        <v>599603.4</v>
      </c>
      <c r="C47">
        <v>63630.21</v>
      </c>
      <c r="D47">
        <v>4460</v>
      </c>
      <c r="E47">
        <v>98.6</v>
      </c>
      <c r="F47">
        <v>0</v>
      </c>
      <c r="G47">
        <v>0</v>
      </c>
      <c r="H47">
        <v>1</v>
      </c>
      <c r="I47">
        <f t="shared" si="0"/>
        <v>653348.90891406732</v>
      </c>
      <c r="J47">
        <f t="shared" si="1"/>
        <v>-53745.508914067294</v>
      </c>
    </row>
    <row r="48" spans="1:10" x14ac:dyDescent="0.3">
      <c r="A48" s="5" t="s">
        <v>37</v>
      </c>
      <c r="B48">
        <v>614800.09</v>
      </c>
      <c r="C48">
        <v>50043.65</v>
      </c>
      <c r="D48">
        <v>3804</v>
      </c>
      <c r="E48">
        <v>90.9</v>
      </c>
      <c r="F48">
        <v>0</v>
      </c>
      <c r="G48">
        <v>0</v>
      </c>
      <c r="H48">
        <v>1</v>
      </c>
      <c r="I48">
        <f t="shared" si="0"/>
        <v>593317.22720199462</v>
      </c>
      <c r="J48">
        <f t="shared" si="1"/>
        <v>21482.862798005342</v>
      </c>
    </row>
    <row r="49" spans="1:10" x14ac:dyDescent="0.3">
      <c r="A49" s="5" t="s">
        <v>37</v>
      </c>
      <c r="B49">
        <v>585365.73</v>
      </c>
      <c r="C49">
        <v>42093.84</v>
      </c>
      <c r="D49">
        <v>4074</v>
      </c>
      <c r="E49">
        <v>88</v>
      </c>
      <c r="F49">
        <v>0</v>
      </c>
      <c r="G49">
        <v>0</v>
      </c>
      <c r="H49">
        <v>1</v>
      </c>
      <c r="I49">
        <f t="shared" si="0"/>
        <v>584861.6491436793</v>
      </c>
      <c r="J49">
        <f t="shared" si="1"/>
        <v>504.08085632068105</v>
      </c>
    </row>
    <row r="50" spans="1:10" x14ac:dyDescent="0.3">
      <c r="A50" s="5" t="s">
        <v>38</v>
      </c>
      <c r="B50">
        <v>622811.74</v>
      </c>
      <c r="C50">
        <v>46624.05</v>
      </c>
      <c r="D50">
        <v>5104</v>
      </c>
      <c r="E50">
        <v>97.3</v>
      </c>
      <c r="F50">
        <v>0</v>
      </c>
      <c r="G50">
        <v>1</v>
      </c>
      <c r="H50">
        <v>0</v>
      </c>
      <c r="I50">
        <f t="shared" si="0"/>
        <v>644385.95370064653</v>
      </c>
      <c r="J50">
        <f t="shared" si="1"/>
        <v>-21574.213700646535</v>
      </c>
    </row>
    <row r="51" spans="1:10" x14ac:dyDescent="0.3">
      <c r="A51" s="5" t="s">
        <v>38</v>
      </c>
      <c r="B51">
        <v>603297.56999999995</v>
      </c>
      <c r="C51">
        <v>49710.29</v>
      </c>
      <c r="D51">
        <v>5559</v>
      </c>
      <c r="E51">
        <v>71</v>
      </c>
      <c r="F51">
        <v>0</v>
      </c>
      <c r="G51">
        <v>1</v>
      </c>
      <c r="H51">
        <v>0</v>
      </c>
      <c r="I51">
        <f t="shared" si="0"/>
        <v>589338.17249241786</v>
      </c>
      <c r="J51">
        <f t="shared" si="1"/>
        <v>13959.397507582093</v>
      </c>
    </row>
    <row r="52" spans="1:10" x14ac:dyDescent="0.3">
      <c r="A52" s="5" t="s">
        <v>38</v>
      </c>
      <c r="B52">
        <v>625672.86</v>
      </c>
      <c r="C52">
        <v>48287.85</v>
      </c>
      <c r="D52">
        <v>5150</v>
      </c>
      <c r="E52">
        <v>80.400000000000006</v>
      </c>
      <c r="F52">
        <v>0</v>
      </c>
      <c r="G52">
        <v>1</v>
      </c>
      <c r="H52">
        <v>0</v>
      </c>
      <c r="I52">
        <f t="shared" si="0"/>
        <v>600289.42242092069</v>
      </c>
      <c r="J52">
        <f t="shared" si="1"/>
        <v>25383.437579079298</v>
      </c>
    </row>
    <row r="53" spans="1:10" x14ac:dyDescent="0.3">
      <c r="A53" s="5" t="s">
        <v>38</v>
      </c>
      <c r="B53">
        <v>773815.14</v>
      </c>
      <c r="C53">
        <v>65312.49</v>
      </c>
      <c r="D53">
        <v>7189</v>
      </c>
      <c r="E53">
        <v>93.7</v>
      </c>
      <c r="F53">
        <v>0</v>
      </c>
      <c r="G53">
        <v>1</v>
      </c>
      <c r="H53">
        <v>0</v>
      </c>
      <c r="I53">
        <f t="shared" si="0"/>
        <v>727023.12168620387</v>
      </c>
      <c r="J53">
        <f t="shared" si="1"/>
        <v>46792.018313796143</v>
      </c>
    </row>
    <row r="54" spans="1:10" x14ac:dyDescent="0.3">
      <c r="A54" s="5" t="s">
        <v>39</v>
      </c>
      <c r="B54">
        <v>463534.25</v>
      </c>
      <c r="C54">
        <v>53015.46</v>
      </c>
      <c r="D54">
        <v>3279</v>
      </c>
      <c r="E54">
        <v>84.3</v>
      </c>
      <c r="F54">
        <v>0</v>
      </c>
      <c r="G54">
        <v>0</v>
      </c>
      <c r="H54">
        <v>1</v>
      </c>
      <c r="I54">
        <f t="shared" si="0"/>
        <v>560459.40302176983</v>
      </c>
      <c r="J54">
        <f t="shared" si="1"/>
        <v>-96925.153021769831</v>
      </c>
    </row>
    <row r="55" spans="1:10" x14ac:dyDescent="0.3">
      <c r="A55" s="5" t="s">
        <v>39</v>
      </c>
      <c r="B55">
        <v>746677.75</v>
      </c>
      <c r="C55">
        <v>99874.01</v>
      </c>
      <c r="D55">
        <v>5887</v>
      </c>
      <c r="E55">
        <v>88.7</v>
      </c>
      <c r="F55">
        <v>0</v>
      </c>
      <c r="G55">
        <v>0</v>
      </c>
      <c r="H55">
        <v>1</v>
      </c>
      <c r="I55">
        <f t="shared" si="0"/>
        <v>716763.78679992142</v>
      </c>
      <c r="J55">
        <f t="shared" si="1"/>
        <v>29913.963200078579</v>
      </c>
    </row>
    <row r="56" spans="1:10" x14ac:dyDescent="0.3">
      <c r="A56" s="5" t="s">
        <v>39</v>
      </c>
      <c r="B56">
        <v>720852.5</v>
      </c>
      <c r="C56">
        <v>81195.5</v>
      </c>
      <c r="D56">
        <v>5516</v>
      </c>
      <c r="E56">
        <v>88</v>
      </c>
      <c r="F56">
        <v>0</v>
      </c>
      <c r="G56">
        <v>0</v>
      </c>
      <c r="H56">
        <v>1</v>
      </c>
      <c r="I56">
        <f t="shared" si="0"/>
        <v>680074.00700889505</v>
      </c>
      <c r="J56">
        <f t="shared" si="1"/>
        <v>40778.492991104955</v>
      </c>
    </row>
    <row r="57" spans="1:10" x14ac:dyDescent="0.3">
      <c r="A57" s="5" t="s">
        <v>39</v>
      </c>
      <c r="B57">
        <v>487464.91</v>
      </c>
      <c r="C57">
        <v>27808.6</v>
      </c>
      <c r="D57">
        <v>2863</v>
      </c>
      <c r="E57">
        <v>89.3</v>
      </c>
      <c r="F57">
        <v>0</v>
      </c>
      <c r="G57">
        <v>0</v>
      </c>
      <c r="H57">
        <v>1</v>
      </c>
      <c r="I57">
        <f t="shared" si="0"/>
        <v>530567.170425358</v>
      </c>
      <c r="J57">
        <f t="shared" si="1"/>
        <v>-43102.260425358021</v>
      </c>
    </row>
    <row r="58" spans="1:10" x14ac:dyDescent="0.3">
      <c r="A58" s="5" t="s">
        <v>40</v>
      </c>
      <c r="B58">
        <v>518049.26</v>
      </c>
      <c r="C58">
        <v>19365.060000000001</v>
      </c>
      <c r="D58">
        <v>2378</v>
      </c>
      <c r="E58">
        <v>94.8</v>
      </c>
      <c r="F58">
        <v>1</v>
      </c>
      <c r="G58">
        <v>0</v>
      </c>
      <c r="H58">
        <v>0</v>
      </c>
      <c r="I58">
        <f t="shared" si="0"/>
        <v>502135.46866633778</v>
      </c>
      <c r="J58">
        <f t="shared" si="1"/>
        <v>15913.79133366223</v>
      </c>
    </row>
    <row r="59" spans="1:10" x14ac:dyDescent="0.3">
      <c r="A59" s="5" t="s">
        <v>40</v>
      </c>
      <c r="B59">
        <v>500298.48</v>
      </c>
      <c r="C59">
        <v>59405.68</v>
      </c>
      <c r="D59">
        <v>2515</v>
      </c>
      <c r="E59">
        <v>76</v>
      </c>
      <c r="F59">
        <v>1</v>
      </c>
      <c r="G59">
        <v>0</v>
      </c>
      <c r="H59">
        <v>0</v>
      </c>
      <c r="I59">
        <f t="shared" si="0"/>
        <v>501278.16589995846</v>
      </c>
      <c r="J59">
        <f t="shared" si="1"/>
        <v>-979.68589995848015</v>
      </c>
    </row>
    <row r="60" spans="1:10" x14ac:dyDescent="0.3">
      <c r="A60" s="5" t="s">
        <v>40</v>
      </c>
      <c r="B60">
        <v>617291.15</v>
      </c>
      <c r="C60">
        <v>118910.48</v>
      </c>
      <c r="D60">
        <v>4022</v>
      </c>
      <c r="E60">
        <v>87.1</v>
      </c>
      <c r="F60">
        <v>1</v>
      </c>
      <c r="G60">
        <v>0</v>
      </c>
      <c r="H60">
        <v>0</v>
      </c>
      <c r="I60">
        <f t="shared" si="0"/>
        <v>654170.56838514237</v>
      </c>
      <c r="J60">
        <f t="shared" si="1"/>
        <v>-36879.418385142344</v>
      </c>
    </row>
    <row r="61" spans="1:10" x14ac:dyDescent="0.3">
      <c r="A61" s="5" t="s">
        <v>40</v>
      </c>
      <c r="B61">
        <v>553756.43000000005</v>
      </c>
      <c r="C61">
        <v>52952.12</v>
      </c>
      <c r="D61">
        <v>4377</v>
      </c>
      <c r="E61">
        <v>88.6</v>
      </c>
      <c r="F61">
        <v>1</v>
      </c>
      <c r="G61">
        <v>0</v>
      </c>
      <c r="H61">
        <v>0</v>
      </c>
      <c r="I61">
        <f t="shared" si="0"/>
        <v>592200.9268149155</v>
      </c>
      <c r="J61">
        <f t="shared" si="1"/>
        <v>-38444.496814915445</v>
      </c>
    </row>
    <row r="62" spans="1:10" x14ac:dyDescent="0.3">
      <c r="A62" s="5" t="s">
        <v>41</v>
      </c>
      <c r="B62">
        <v>749559.71</v>
      </c>
      <c r="C62">
        <v>74907.98</v>
      </c>
      <c r="D62">
        <v>5306</v>
      </c>
      <c r="E62">
        <v>95.6</v>
      </c>
      <c r="F62">
        <v>0</v>
      </c>
      <c r="G62">
        <v>0</v>
      </c>
      <c r="H62">
        <v>0</v>
      </c>
      <c r="I62">
        <f t="shared" si="0"/>
        <v>691372.2480628374</v>
      </c>
      <c r="J62">
        <f t="shared" si="1"/>
        <v>58187.461937162559</v>
      </c>
    </row>
    <row r="63" spans="1:10" x14ac:dyDescent="0.3">
      <c r="A63" s="5" t="s">
        <v>41</v>
      </c>
      <c r="B63">
        <v>615966.48</v>
      </c>
      <c r="C63">
        <v>37284.660000000003</v>
      </c>
      <c r="D63">
        <v>3928</v>
      </c>
      <c r="E63">
        <v>86.5</v>
      </c>
      <c r="F63">
        <v>0</v>
      </c>
      <c r="G63">
        <v>0</v>
      </c>
      <c r="H63">
        <v>0</v>
      </c>
      <c r="I63">
        <f t="shared" si="0"/>
        <v>574435.09973358584</v>
      </c>
      <c r="J63">
        <f t="shared" si="1"/>
        <v>41531.38026641414</v>
      </c>
    </row>
    <row r="64" spans="1:10" x14ac:dyDescent="0.3">
      <c r="A64" s="5" t="s">
        <v>41</v>
      </c>
      <c r="B64">
        <v>572011.19999999995</v>
      </c>
      <c r="C64">
        <v>50343.19</v>
      </c>
      <c r="D64">
        <v>3845</v>
      </c>
      <c r="E64">
        <v>88.7</v>
      </c>
      <c r="F64">
        <v>0</v>
      </c>
      <c r="G64">
        <v>0</v>
      </c>
      <c r="H64">
        <v>0</v>
      </c>
      <c r="I64">
        <f t="shared" si="0"/>
        <v>593310.20496667479</v>
      </c>
      <c r="J64">
        <f t="shared" si="1"/>
        <v>-21299.004966674838</v>
      </c>
    </row>
    <row r="65" spans="1:10" x14ac:dyDescent="0.3">
      <c r="A65" s="5" t="s">
        <v>41</v>
      </c>
      <c r="B65">
        <v>761860.19</v>
      </c>
      <c r="C65">
        <v>74954.47</v>
      </c>
      <c r="D65">
        <v>6620</v>
      </c>
      <c r="E65">
        <v>91.1</v>
      </c>
      <c r="F65">
        <v>0</v>
      </c>
      <c r="G65">
        <v>0</v>
      </c>
      <c r="H65">
        <v>0</v>
      </c>
      <c r="I65">
        <f t="shared" si="0"/>
        <v>723251.18361016107</v>
      </c>
      <c r="J65">
        <f t="shared" si="1"/>
        <v>38609.006389838876</v>
      </c>
    </row>
    <row r="66" spans="1:10" x14ac:dyDescent="0.3">
      <c r="A66" s="5" t="s">
        <v>42</v>
      </c>
      <c r="B66">
        <v>784502.68</v>
      </c>
      <c r="C66">
        <v>70040.31</v>
      </c>
      <c r="D66">
        <v>9175</v>
      </c>
      <c r="E66">
        <v>95.1</v>
      </c>
      <c r="F66">
        <v>0</v>
      </c>
      <c r="G66">
        <v>0</v>
      </c>
      <c r="H66">
        <v>1</v>
      </c>
      <c r="I66">
        <f t="shared" ref="I66:I129" si="2">153400.7954+1.18591413*C66+33.87042078*D66+2818.206779*E66-21940.48828*F66-11393.10865*G66-4449.116708*H66</f>
        <v>810786.0473299803</v>
      </c>
      <c r="J66">
        <f t="shared" ref="J66:J129" si="3">B66-I66</f>
        <v>-26283.367329980247</v>
      </c>
    </row>
    <row r="67" spans="1:10" x14ac:dyDescent="0.3">
      <c r="A67" s="5" t="s">
        <v>42</v>
      </c>
      <c r="B67">
        <v>717141.55</v>
      </c>
      <c r="C67">
        <v>51148.69</v>
      </c>
      <c r="D67">
        <v>7940</v>
      </c>
      <c r="E67">
        <v>93.3</v>
      </c>
      <c r="F67">
        <v>0</v>
      </c>
      <c r="G67">
        <v>0</v>
      </c>
      <c r="H67">
        <v>1</v>
      </c>
      <c r="I67">
        <f t="shared" si="2"/>
        <v>741479.46636788966</v>
      </c>
      <c r="J67">
        <f t="shared" si="3"/>
        <v>-24337.916367889615</v>
      </c>
    </row>
    <row r="68" spans="1:10" x14ac:dyDescent="0.3">
      <c r="A68" s="5" t="s">
        <v>42</v>
      </c>
      <c r="B68">
        <v>685379.08</v>
      </c>
      <c r="C68">
        <v>79346.100000000006</v>
      </c>
      <c r="D68">
        <v>9628</v>
      </c>
      <c r="E68">
        <v>99</v>
      </c>
      <c r="F68">
        <v>0</v>
      </c>
      <c r="G68">
        <v>0</v>
      </c>
      <c r="H68">
        <v>1</v>
      </c>
      <c r="I68">
        <f t="shared" si="2"/>
        <v>848156.22223323316</v>
      </c>
      <c r="J68">
        <f t="shared" si="3"/>
        <v>-162777.1422332332</v>
      </c>
    </row>
    <row r="69" spans="1:10" x14ac:dyDescent="0.3">
      <c r="A69" s="5" t="s">
        <v>42</v>
      </c>
      <c r="B69">
        <v>740496.65</v>
      </c>
      <c r="C69">
        <v>42018.400000000001</v>
      </c>
      <c r="D69">
        <v>8296</v>
      </c>
      <c r="E69">
        <v>91.8</v>
      </c>
      <c r="F69">
        <v>0</v>
      </c>
      <c r="G69">
        <v>0</v>
      </c>
      <c r="H69">
        <v>1</v>
      </c>
      <c r="I69">
        <f t="shared" si="2"/>
        <v>738482.28607507213</v>
      </c>
      <c r="J69">
        <f t="shared" si="3"/>
        <v>2014.3639249278931</v>
      </c>
    </row>
    <row r="70" spans="1:10" x14ac:dyDescent="0.3">
      <c r="A70" s="5" t="s">
        <v>43</v>
      </c>
      <c r="B70">
        <v>661927.14</v>
      </c>
      <c r="C70">
        <v>70937.240000000005</v>
      </c>
      <c r="D70">
        <v>3595</v>
      </c>
      <c r="E70">
        <v>88.9</v>
      </c>
      <c r="F70">
        <v>1</v>
      </c>
      <c r="G70">
        <v>0</v>
      </c>
      <c r="H70">
        <v>0</v>
      </c>
      <c r="I70">
        <f t="shared" si="2"/>
        <v>587888.52773640119</v>
      </c>
      <c r="J70">
        <f t="shared" si="3"/>
        <v>74038.612263598829</v>
      </c>
    </row>
    <row r="71" spans="1:10" x14ac:dyDescent="0.3">
      <c r="A71" s="5" t="s">
        <v>43</v>
      </c>
      <c r="B71">
        <v>479050.5</v>
      </c>
      <c r="C71">
        <v>36813.449999999997</v>
      </c>
      <c r="D71">
        <v>2834</v>
      </c>
      <c r="E71">
        <v>81.8</v>
      </c>
      <c r="F71">
        <v>1</v>
      </c>
      <c r="G71">
        <v>0</v>
      </c>
      <c r="H71">
        <v>0</v>
      </c>
      <c r="I71">
        <f t="shared" si="2"/>
        <v>501635.98466176848</v>
      </c>
      <c r="J71">
        <f t="shared" si="3"/>
        <v>-22585.484661768482</v>
      </c>
    </row>
    <row r="72" spans="1:10" x14ac:dyDescent="0.3">
      <c r="A72" s="5" t="s">
        <v>43</v>
      </c>
      <c r="B72">
        <v>605023.87</v>
      </c>
      <c r="C72">
        <v>60571.82</v>
      </c>
      <c r="D72">
        <v>3193</v>
      </c>
      <c r="E72">
        <v>99</v>
      </c>
      <c r="F72">
        <v>1</v>
      </c>
      <c r="G72">
        <v>0</v>
      </c>
      <c r="H72">
        <v>0</v>
      </c>
      <c r="I72">
        <f t="shared" si="2"/>
        <v>590444.00900935661</v>
      </c>
      <c r="J72">
        <f t="shared" si="3"/>
        <v>14579.860990643385</v>
      </c>
    </row>
    <row r="73" spans="1:10" x14ac:dyDescent="0.3">
      <c r="A73" s="5" t="s">
        <v>43</v>
      </c>
      <c r="B73">
        <v>674774.09</v>
      </c>
      <c r="C73">
        <v>55081.16</v>
      </c>
      <c r="D73">
        <v>5485</v>
      </c>
      <c r="E73">
        <v>88</v>
      </c>
      <c r="F73">
        <v>1</v>
      </c>
      <c r="G73">
        <v>0</v>
      </c>
      <c r="H73">
        <v>0</v>
      </c>
      <c r="I73">
        <f t="shared" si="2"/>
        <v>630563.28759109078</v>
      </c>
      <c r="J73">
        <f t="shared" si="3"/>
        <v>44210.802408909192</v>
      </c>
    </row>
    <row r="74" spans="1:10" x14ac:dyDescent="0.3">
      <c r="A74" s="5" t="s">
        <v>44</v>
      </c>
      <c r="B74">
        <v>616069.41</v>
      </c>
      <c r="C74">
        <v>46201.46</v>
      </c>
      <c r="D74">
        <v>5918</v>
      </c>
      <c r="E74">
        <v>78.8</v>
      </c>
      <c r="F74">
        <v>1</v>
      </c>
      <c r="G74">
        <v>0</v>
      </c>
      <c r="H74">
        <v>0</v>
      </c>
      <c r="I74">
        <f t="shared" si="2"/>
        <v>608771.11572186975</v>
      </c>
      <c r="J74">
        <f t="shared" si="3"/>
        <v>7298.2942781302845</v>
      </c>
    </row>
    <row r="75" spans="1:10" x14ac:dyDescent="0.3">
      <c r="A75" s="5" t="s">
        <v>44</v>
      </c>
      <c r="B75">
        <v>630829.93999999994</v>
      </c>
      <c r="C75">
        <v>53762.92</v>
      </c>
      <c r="D75">
        <v>6821</v>
      </c>
      <c r="E75">
        <v>94.6</v>
      </c>
      <c r="F75">
        <v>1</v>
      </c>
      <c r="G75">
        <v>0</v>
      </c>
      <c r="H75">
        <v>0</v>
      </c>
      <c r="I75">
        <f t="shared" si="2"/>
        <v>692851.01505183952</v>
      </c>
      <c r="J75">
        <f t="shared" si="3"/>
        <v>-62021.07505183958</v>
      </c>
    </row>
    <row r="76" spans="1:10" x14ac:dyDescent="0.3">
      <c r="A76" s="5" t="s">
        <v>44</v>
      </c>
      <c r="B76">
        <v>788087.68</v>
      </c>
      <c r="C76">
        <v>70144.78</v>
      </c>
      <c r="D76">
        <v>6806</v>
      </c>
      <c r="E76">
        <v>93.1</v>
      </c>
      <c r="F76">
        <v>1</v>
      </c>
      <c r="G76">
        <v>0</v>
      </c>
      <c r="H76">
        <v>0</v>
      </c>
      <c r="I76">
        <f t="shared" si="2"/>
        <v>707543.12782132137</v>
      </c>
      <c r="J76">
        <f t="shared" si="3"/>
        <v>80544.552178678685</v>
      </c>
    </row>
    <row r="77" spans="1:10" x14ac:dyDescent="0.3">
      <c r="A77" s="5" t="s">
        <v>44</v>
      </c>
      <c r="B77">
        <v>680840.36</v>
      </c>
      <c r="C77">
        <v>58749.63</v>
      </c>
      <c r="D77">
        <v>8252</v>
      </c>
      <c r="E77">
        <v>85.2</v>
      </c>
      <c r="F77">
        <v>1</v>
      </c>
      <c r="G77">
        <v>0</v>
      </c>
      <c r="H77">
        <v>0</v>
      </c>
      <c r="I77">
        <f t="shared" si="2"/>
        <v>720742.25331663189</v>
      </c>
      <c r="J77">
        <f t="shared" si="3"/>
        <v>-39901.893316631904</v>
      </c>
    </row>
    <row r="78" spans="1:10" x14ac:dyDescent="0.3">
      <c r="A78" s="5" t="s">
        <v>45</v>
      </c>
      <c r="B78">
        <v>643657.47</v>
      </c>
      <c r="C78">
        <v>56973.18</v>
      </c>
      <c r="D78">
        <v>6662</v>
      </c>
      <c r="E78">
        <v>77.7</v>
      </c>
      <c r="F78">
        <v>0</v>
      </c>
      <c r="G78">
        <v>0</v>
      </c>
      <c r="H78">
        <v>0</v>
      </c>
      <c r="I78">
        <f t="shared" si="2"/>
        <v>665585.50455769349</v>
      </c>
      <c r="J78">
        <f t="shared" si="3"/>
        <v>-21928.034557693521</v>
      </c>
    </row>
    <row r="79" spans="1:10" x14ac:dyDescent="0.3">
      <c r="A79" s="5" t="s">
        <v>45</v>
      </c>
      <c r="B79">
        <v>691112.6</v>
      </c>
      <c r="C79">
        <v>54872.82</v>
      </c>
      <c r="D79">
        <v>5962</v>
      </c>
      <c r="E79">
        <v>85.4</v>
      </c>
      <c r="F79">
        <v>0</v>
      </c>
      <c r="G79">
        <v>0</v>
      </c>
      <c r="H79">
        <v>0</v>
      </c>
      <c r="I79">
        <f t="shared" si="2"/>
        <v>661085.55560790666</v>
      </c>
      <c r="J79">
        <f t="shared" si="3"/>
        <v>30027.044392093318</v>
      </c>
    </row>
    <row r="80" spans="1:10" x14ac:dyDescent="0.3">
      <c r="A80" s="5" t="s">
        <v>45</v>
      </c>
      <c r="B80">
        <v>776922.17</v>
      </c>
      <c r="C80">
        <v>80562.81</v>
      </c>
      <c r="D80">
        <v>7470</v>
      </c>
      <c r="E80">
        <v>83.5</v>
      </c>
      <c r="F80">
        <v>0</v>
      </c>
      <c r="G80">
        <v>0</v>
      </c>
      <c r="H80">
        <v>0</v>
      </c>
      <c r="I80">
        <f t="shared" si="2"/>
        <v>737273.67940460541</v>
      </c>
      <c r="J80">
        <f t="shared" si="3"/>
        <v>39648.490595394629</v>
      </c>
    </row>
    <row r="81" spans="1:10" x14ac:dyDescent="0.3">
      <c r="A81" s="5" t="s">
        <v>45</v>
      </c>
      <c r="B81">
        <v>636561.34</v>
      </c>
      <c r="C81">
        <v>77999.899999999994</v>
      </c>
      <c r="D81">
        <v>5974</v>
      </c>
      <c r="E81">
        <v>81.3</v>
      </c>
      <c r="F81">
        <v>0</v>
      </c>
      <c r="G81">
        <v>0</v>
      </c>
      <c r="H81">
        <v>0</v>
      </c>
      <c r="I81">
        <f t="shared" si="2"/>
        <v>677364.08382100705</v>
      </c>
      <c r="J81">
        <f t="shared" si="3"/>
        <v>-40802.743821007083</v>
      </c>
    </row>
    <row r="82" spans="1:10" x14ac:dyDescent="0.3">
      <c r="A82" s="5" t="s">
        <v>46</v>
      </c>
      <c r="B82">
        <v>621369.57999999996</v>
      </c>
      <c r="C82">
        <v>60881.01</v>
      </c>
      <c r="D82">
        <v>5410</v>
      </c>
      <c r="E82">
        <v>83.9</v>
      </c>
      <c r="F82">
        <v>0</v>
      </c>
      <c r="G82">
        <v>0</v>
      </c>
      <c r="H82">
        <v>1</v>
      </c>
      <c r="I82">
        <f t="shared" si="2"/>
        <v>640837.85387757141</v>
      </c>
      <c r="J82">
        <f t="shared" si="3"/>
        <v>-19468.273877571453</v>
      </c>
    </row>
    <row r="83" spans="1:10" x14ac:dyDescent="0.3">
      <c r="A83" s="5" t="s">
        <v>46</v>
      </c>
      <c r="B83">
        <v>682208.01</v>
      </c>
      <c r="C83">
        <v>60628.38</v>
      </c>
      <c r="D83">
        <v>4451</v>
      </c>
      <c r="E83">
        <v>89.6</v>
      </c>
      <c r="F83">
        <v>0</v>
      </c>
      <c r="G83">
        <v>0</v>
      </c>
      <c r="H83">
        <v>1</v>
      </c>
      <c r="I83">
        <f t="shared" si="2"/>
        <v>624120.30150318937</v>
      </c>
      <c r="J83">
        <f t="shared" si="3"/>
        <v>58087.708496810636</v>
      </c>
    </row>
    <row r="84" spans="1:10" x14ac:dyDescent="0.3">
      <c r="A84" s="5" t="s">
        <v>46</v>
      </c>
      <c r="B84">
        <v>727241.86</v>
      </c>
      <c r="C84">
        <v>72731.14</v>
      </c>
      <c r="D84">
        <v>4644</v>
      </c>
      <c r="E84">
        <v>87.1</v>
      </c>
      <c r="F84">
        <v>0</v>
      </c>
      <c r="G84">
        <v>0</v>
      </c>
      <c r="H84">
        <v>1</v>
      </c>
      <c r="I84">
        <f t="shared" si="2"/>
        <v>637964.60986222827</v>
      </c>
      <c r="J84">
        <f t="shared" si="3"/>
        <v>89277.250137771713</v>
      </c>
    </row>
    <row r="85" spans="1:10" x14ac:dyDescent="0.3">
      <c r="A85" s="5" t="s">
        <v>46</v>
      </c>
      <c r="B85">
        <v>569100.78</v>
      </c>
      <c r="C85">
        <v>36475.71</v>
      </c>
      <c r="D85">
        <v>3559</v>
      </c>
      <c r="E85">
        <v>83.6</v>
      </c>
      <c r="F85">
        <v>0</v>
      </c>
      <c r="G85">
        <v>0</v>
      </c>
      <c r="H85">
        <v>1</v>
      </c>
      <c r="I85">
        <f t="shared" si="2"/>
        <v>548355.65286320238</v>
      </c>
      <c r="J85">
        <f t="shared" si="3"/>
        <v>20745.127136797644</v>
      </c>
    </row>
    <row r="86" spans="1:10" x14ac:dyDescent="0.3">
      <c r="A86" s="5" t="s">
        <v>47</v>
      </c>
      <c r="B86">
        <v>574436.29</v>
      </c>
      <c r="C86">
        <v>55388.11</v>
      </c>
      <c r="D86">
        <v>3091</v>
      </c>
      <c r="E86">
        <v>85.4</v>
      </c>
      <c r="F86">
        <v>0</v>
      </c>
      <c r="G86">
        <v>0</v>
      </c>
      <c r="H86">
        <v>1</v>
      </c>
      <c r="I86">
        <f t="shared" si="2"/>
        <v>560005.5505325743</v>
      </c>
      <c r="J86">
        <f t="shared" si="3"/>
        <v>14430.739467425738</v>
      </c>
    </row>
    <row r="87" spans="1:10" x14ac:dyDescent="0.3">
      <c r="A87" s="5" t="s">
        <v>47</v>
      </c>
      <c r="B87">
        <v>611766.72</v>
      </c>
      <c r="C87">
        <v>88443.77</v>
      </c>
      <c r="D87">
        <v>4004</v>
      </c>
      <c r="E87">
        <v>91.9</v>
      </c>
      <c r="F87">
        <v>0</v>
      </c>
      <c r="G87">
        <v>0</v>
      </c>
      <c r="H87">
        <v>1</v>
      </c>
      <c r="I87">
        <f t="shared" si="2"/>
        <v>648448.7630386902</v>
      </c>
      <c r="J87">
        <f t="shared" si="3"/>
        <v>-36682.04303869023</v>
      </c>
    </row>
    <row r="88" spans="1:10" x14ac:dyDescent="0.3">
      <c r="A88" s="5" t="s">
        <v>47</v>
      </c>
      <c r="B88">
        <v>614596.31999999995</v>
      </c>
      <c r="C88">
        <v>78231.91</v>
      </c>
      <c r="D88">
        <v>3788</v>
      </c>
      <c r="E88">
        <v>88.5</v>
      </c>
      <c r="F88">
        <v>0</v>
      </c>
      <c r="G88">
        <v>0</v>
      </c>
      <c r="H88">
        <v>1</v>
      </c>
      <c r="I88">
        <f t="shared" si="2"/>
        <v>619440.46003402839</v>
      </c>
      <c r="J88">
        <f t="shared" si="3"/>
        <v>-4844.1400340284454</v>
      </c>
    </row>
    <row r="89" spans="1:10" x14ac:dyDescent="0.3">
      <c r="A89" s="5" t="s">
        <v>47</v>
      </c>
      <c r="B89">
        <v>450711.92</v>
      </c>
      <c r="C89">
        <v>18996.32</v>
      </c>
      <c r="D89">
        <v>1260</v>
      </c>
      <c r="E89">
        <v>86.4</v>
      </c>
      <c r="F89">
        <v>0</v>
      </c>
      <c r="G89">
        <v>0</v>
      </c>
      <c r="H89">
        <v>1</v>
      </c>
      <c r="I89">
        <f t="shared" si="2"/>
        <v>457649.47888640157</v>
      </c>
      <c r="J89">
        <f t="shared" si="3"/>
        <v>-6937.5588864015881</v>
      </c>
    </row>
    <row r="90" spans="1:10" x14ac:dyDescent="0.3">
      <c r="A90" s="5" t="s">
        <v>48</v>
      </c>
      <c r="B90">
        <v>711213.46</v>
      </c>
      <c r="C90">
        <v>50517.94</v>
      </c>
      <c r="D90">
        <v>7024</v>
      </c>
      <c r="E90">
        <v>79.2</v>
      </c>
      <c r="F90">
        <v>0</v>
      </c>
      <c r="G90">
        <v>0</v>
      </c>
      <c r="H90">
        <v>0</v>
      </c>
      <c r="I90">
        <f t="shared" si="2"/>
        <v>674418.54672001221</v>
      </c>
      <c r="J90">
        <f t="shared" si="3"/>
        <v>36794.913279987755</v>
      </c>
    </row>
    <row r="91" spans="1:10" x14ac:dyDescent="0.3">
      <c r="A91" s="5" t="s">
        <v>48</v>
      </c>
      <c r="B91">
        <v>627171.9</v>
      </c>
      <c r="C91">
        <v>141540.29</v>
      </c>
      <c r="D91">
        <v>5400</v>
      </c>
      <c r="E91">
        <v>87</v>
      </c>
      <c r="F91">
        <v>0</v>
      </c>
      <c r="G91">
        <v>0</v>
      </c>
      <c r="H91">
        <v>0</v>
      </c>
      <c r="I91">
        <f t="shared" si="2"/>
        <v>749339.68726029771</v>
      </c>
      <c r="J91">
        <f t="shared" si="3"/>
        <v>-122167.78726029769</v>
      </c>
    </row>
    <row r="92" spans="1:10" x14ac:dyDescent="0.3">
      <c r="A92" s="5" t="s">
        <v>48</v>
      </c>
      <c r="B92">
        <v>739852.58</v>
      </c>
      <c r="C92">
        <v>82116.19</v>
      </c>
      <c r="D92">
        <v>5988</v>
      </c>
      <c r="E92">
        <v>91.8</v>
      </c>
      <c r="F92">
        <v>0</v>
      </c>
      <c r="G92">
        <v>0</v>
      </c>
      <c r="H92">
        <v>0</v>
      </c>
      <c r="I92">
        <f t="shared" si="2"/>
        <v>712311.00736560475</v>
      </c>
      <c r="J92">
        <f t="shared" si="3"/>
        <v>27541.572634395212</v>
      </c>
    </row>
    <row r="93" spans="1:10" x14ac:dyDescent="0.3">
      <c r="A93" s="5" t="s">
        <v>48</v>
      </c>
      <c r="B93">
        <v>586307.22</v>
      </c>
      <c r="C93">
        <v>31207.51</v>
      </c>
      <c r="D93">
        <v>3701</v>
      </c>
      <c r="E93">
        <v>84.7</v>
      </c>
      <c r="F93">
        <v>0</v>
      </c>
      <c r="G93">
        <v>0</v>
      </c>
      <c r="H93">
        <v>0</v>
      </c>
      <c r="I93">
        <f t="shared" si="2"/>
        <v>554466.76395919628</v>
      </c>
      <c r="J93">
        <f t="shared" si="3"/>
        <v>31840.456040803692</v>
      </c>
    </row>
    <row r="94" spans="1:10" x14ac:dyDescent="0.3">
      <c r="A94" s="5" t="s">
        <v>49</v>
      </c>
      <c r="B94">
        <v>585937.48</v>
      </c>
      <c r="C94">
        <v>38966.589999999997</v>
      </c>
      <c r="D94">
        <v>4509</v>
      </c>
      <c r="E94">
        <v>91.1</v>
      </c>
      <c r="F94">
        <v>0</v>
      </c>
      <c r="G94">
        <v>0</v>
      </c>
      <c r="H94">
        <v>1</v>
      </c>
      <c r="I94">
        <f t="shared" si="2"/>
        <v>604623.0732348368</v>
      </c>
      <c r="J94">
        <f t="shared" si="3"/>
        <v>-18685.593234836822</v>
      </c>
    </row>
    <row r="95" spans="1:10" x14ac:dyDescent="0.3">
      <c r="A95" s="5" t="s">
        <v>49</v>
      </c>
      <c r="B95">
        <v>753473.55</v>
      </c>
      <c r="C95">
        <v>67439.3</v>
      </c>
      <c r="D95">
        <v>6477</v>
      </c>
      <c r="E95">
        <v>90.9</v>
      </c>
      <c r="F95">
        <v>0</v>
      </c>
      <c r="G95">
        <v>0</v>
      </c>
      <c r="H95">
        <v>1</v>
      </c>
      <c r="I95">
        <f t="shared" si="2"/>
        <v>704482.60908246913</v>
      </c>
      <c r="J95">
        <f t="shared" si="3"/>
        <v>48990.940917530912</v>
      </c>
    </row>
    <row r="96" spans="1:10" x14ac:dyDescent="0.3">
      <c r="A96" s="5" t="s">
        <v>49</v>
      </c>
      <c r="B96">
        <v>838250.32</v>
      </c>
      <c r="C96">
        <v>86421.88</v>
      </c>
      <c r="D96">
        <v>7970</v>
      </c>
      <c r="E96">
        <v>91.3</v>
      </c>
      <c r="F96">
        <v>0</v>
      </c>
      <c r="G96">
        <v>0</v>
      </c>
      <c r="H96">
        <v>1</v>
      </c>
      <c r="I96">
        <f t="shared" si="2"/>
        <v>778690.13986446441</v>
      </c>
      <c r="J96">
        <f t="shared" si="3"/>
        <v>59560.180135535542</v>
      </c>
    </row>
    <row r="97" spans="1:10" x14ac:dyDescent="0.3">
      <c r="A97" s="5" t="s">
        <v>49</v>
      </c>
      <c r="B97">
        <v>607898.12</v>
      </c>
      <c r="C97">
        <v>9534.65</v>
      </c>
      <c r="D97">
        <v>6057</v>
      </c>
      <c r="E97">
        <v>94.1</v>
      </c>
      <c r="F97">
        <v>0</v>
      </c>
      <c r="G97">
        <v>0</v>
      </c>
      <c r="H97">
        <v>1</v>
      </c>
      <c r="I97">
        <f t="shared" si="2"/>
        <v>630605.35141996457</v>
      </c>
      <c r="J97">
        <f t="shared" si="3"/>
        <v>-22707.231419964577</v>
      </c>
    </row>
    <row r="98" spans="1:10" x14ac:dyDescent="0.3">
      <c r="A98" s="5" t="s">
        <v>50</v>
      </c>
      <c r="B98">
        <v>691113.62</v>
      </c>
      <c r="C98">
        <v>61132.07</v>
      </c>
      <c r="D98">
        <v>6394</v>
      </c>
      <c r="E98">
        <v>91</v>
      </c>
      <c r="F98">
        <v>0</v>
      </c>
      <c r="G98">
        <v>0</v>
      </c>
      <c r="H98">
        <v>1</v>
      </c>
      <c r="I98">
        <f t="shared" si="2"/>
        <v>694473.35165746917</v>
      </c>
      <c r="J98">
        <f t="shared" si="3"/>
        <v>-3359.7316574691795</v>
      </c>
    </row>
    <row r="99" spans="1:10" x14ac:dyDescent="0.3">
      <c r="A99" s="5" t="s">
        <v>50</v>
      </c>
      <c r="B99">
        <v>735509.4</v>
      </c>
      <c r="C99">
        <v>78839.39</v>
      </c>
      <c r="D99">
        <v>5150</v>
      </c>
      <c r="E99">
        <v>85.8</v>
      </c>
      <c r="F99">
        <v>0</v>
      </c>
      <c r="G99">
        <v>0</v>
      </c>
      <c r="H99">
        <v>1</v>
      </c>
      <c r="I99">
        <f t="shared" si="2"/>
        <v>658683.23394878081</v>
      </c>
      <c r="J99">
        <f t="shared" si="3"/>
        <v>76826.166051219217</v>
      </c>
    </row>
    <row r="100" spans="1:10" x14ac:dyDescent="0.3">
      <c r="A100" s="5" t="s">
        <v>50</v>
      </c>
      <c r="B100">
        <v>605775.32999999996</v>
      </c>
      <c r="C100">
        <v>38752.800000000003</v>
      </c>
      <c r="D100">
        <v>4712</v>
      </c>
      <c r="E100">
        <v>89.7</v>
      </c>
      <c r="F100">
        <v>0</v>
      </c>
      <c r="G100">
        <v>0</v>
      </c>
      <c r="H100">
        <v>1</v>
      </c>
      <c r="I100">
        <f t="shared" si="2"/>
        <v>607299.74258072407</v>
      </c>
      <c r="J100">
        <f t="shared" si="3"/>
        <v>-1524.4125807241071</v>
      </c>
    </row>
    <row r="101" spans="1:10" x14ac:dyDescent="0.3">
      <c r="A101" s="5" t="s">
        <v>50</v>
      </c>
      <c r="B101">
        <v>675177.68</v>
      </c>
      <c r="C101">
        <v>55101.1</v>
      </c>
      <c r="D101">
        <v>5281</v>
      </c>
      <c r="E101">
        <v>91</v>
      </c>
      <c r="F101">
        <v>0</v>
      </c>
      <c r="G101">
        <v>0</v>
      </c>
      <c r="H101">
        <v>1</v>
      </c>
      <c r="I101">
        <f t="shared" si="2"/>
        <v>649623.3607887231</v>
      </c>
      <c r="J101">
        <f t="shared" si="3"/>
        <v>25554.319211276947</v>
      </c>
    </row>
    <row r="102" spans="1:10" x14ac:dyDescent="0.3">
      <c r="A102" s="5" t="s">
        <v>51</v>
      </c>
      <c r="B102">
        <v>635181.35</v>
      </c>
      <c r="C102">
        <v>53084.76</v>
      </c>
      <c r="D102">
        <v>3642</v>
      </c>
      <c r="E102">
        <v>91.4</v>
      </c>
      <c r="F102">
        <v>1</v>
      </c>
      <c r="G102">
        <v>0</v>
      </c>
      <c r="H102">
        <v>0</v>
      </c>
      <c r="I102">
        <f t="shared" si="2"/>
        <v>575354.44617301878</v>
      </c>
      <c r="J102">
        <f t="shared" si="3"/>
        <v>59826.903826981201</v>
      </c>
    </row>
    <row r="103" spans="1:10" x14ac:dyDescent="0.3">
      <c r="A103" s="5" t="s">
        <v>51</v>
      </c>
      <c r="B103">
        <v>586626.93999999994</v>
      </c>
      <c r="C103">
        <v>63101.59</v>
      </c>
      <c r="D103">
        <v>4373</v>
      </c>
      <c r="E103">
        <v>90.4</v>
      </c>
      <c r="F103">
        <v>1</v>
      </c>
      <c r="G103">
        <v>0</v>
      </c>
      <c r="H103">
        <v>0</v>
      </c>
      <c r="I103">
        <f t="shared" si="2"/>
        <v>609174.61721900676</v>
      </c>
      <c r="J103">
        <f t="shared" si="3"/>
        <v>-22547.677219006815</v>
      </c>
    </row>
    <row r="104" spans="1:10" x14ac:dyDescent="0.3">
      <c r="A104" s="5" t="s">
        <v>51</v>
      </c>
      <c r="B104">
        <v>740102.64</v>
      </c>
      <c r="C104">
        <v>90084.4</v>
      </c>
      <c r="D104">
        <v>6832</v>
      </c>
      <c r="E104">
        <v>80.5</v>
      </c>
      <c r="F104">
        <v>1</v>
      </c>
      <c r="G104">
        <v>0</v>
      </c>
      <c r="H104">
        <v>0</v>
      </c>
      <c r="I104">
        <f t="shared" si="2"/>
        <v>696561.03045103198</v>
      </c>
      <c r="J104">
        <f t="shared" si="3"/>
        <v>43541.60954896803</v>
      </c>
    </row>
    <row r="105" spans="1:10" x14ac:dyDescent="0.3">
      <c r="A105" s="5" t="s">
        <v>51</v>
      </c>
      <c r="B105">
        <v>625514.04</v>
      </c>
      <c r="C105">
        <v>32266.639999999999</v>
      </c>
      <c r="D105">
        <v>2414</v>
      </c>
      <c r="E105">
        <v>92.1</v>
      </c>
      <c r="F105">
        <v>1</v>
      </c>
      <c r="G105">
        <v>0</v>
      </c>
      <c r="H105">
        <v>0</v>
      </c>
      <c r="I105">
        <f t="shared" si="2"/>
        <v>511045.81153244321</v>
      </c>
      <c r="J105">
        <f t="shared" si="3"/>
        <v>114468.22846755682</v>
      </c>
    </row>
    <row r="106" spans="1:10" x14ac:dyDescent="0.3">
      <c r="A106" s="5" t="s">
        <v>52</v>
      </c>
      <c r="B106">
        <v>727227.2</v>
      </c>
      <c r="C106">
        <v>57919.07</v>
      </c>
      <c r="D106">
        <v>7374</v>
      </c>
      <c r="E106">
        <v>82.3</v>
      </c>
      <c r="F106">
        <v>0</v>
      </c>
      <c r="G106">
        <v>0</v>
      </c>
      <c r="H106">
        <v>1</v>
      </c>
      <c r="I106">
        <f t="shared" si="2"/>
        <v>699337.62294487911</v>
      </c>
      <c r="J106">
        <f t="shared" si="3"/>
        <v>27889.577055120841</v>
      </c>
    </row>
    <row r="107" spans="1:10" x14ac:dyDescent="0.3">
      <c r="A107" s="5" t="s">
        <v>52</v>
      </c>
      <c r="B107">
        <v>783797.89</v>
      </c>
      <c r="C107">
        <v>74679.350000000006</v>
      </c>
      <c r="D107">
        <v>8739</v>
      </c>
      <c r="E107">
        <v>91.8</v>
      </c>
      <c r="F107">
        <v>0</v>
      </c>
      <c r="G107">
        <v>0</v>
      </c>
      <c r="H107">
        <v>1</v>
      </c>
      <c r="I107">
        <f t="shared" si="2"/>
        <v>792219.96458483557</v>
      </c>
      <c r="J107">
        <f t="shared" si="3"/>
        <v>-8422.0745848355582</v>
      </c>
    </row>
    <row r="108" spans="1:10" x14ac:dyDescent="0.3">
      <c r="A108" s="5" t="s">
        <v>52</v>
      </c>
      <c r="B108">
        <v>795153.84</v>
      </c>
      <c r="C108">
        <v>64294.23</v>
      </c>
      <c r="D108">
        <v>6992</v>
      </c>
      <c r="E108">
        <v>94.1</v>
      </c>
      <c r="F108">
        <v>0</v>
      </c>
      <c r="G108">
        <v>0</v>
      </c>
      <c r="H108">
        <v>1</v>
      </c>
      <c r="I108">
        <f t="shared" si="2"/>
        <v>727214.35452413</v>
      </c>
      <c r="J108">
        <f t="shared" si="3"/>
        <v>67939.485475869966</v>
      </c>
    </row>
    <row r="109" spans="1:10" x14ac:dyDescent="0.3">
      <c r="A109" s="5" t="s">
        <v>52</v>
      </c>
      <c r="B109">
        <v>665594.93999999994</v>
      </c>
      <c r="C109">
        <v>31042.03</v>
      </c>
      <c r="D109">
        <v>7107</v>
      </c>
      <c r="E109">
        <v>87</v>
      </c>
      <c r="F109">
        <v>0</v>
      </c>
      <c r="G109">
        <v>0</v>
      </c>
      <c r="H109">
        <v>1</v>
      </c>
      <c r="I109">
        <f t="shared" si="2"/>
        <v>671665.93094934395</v>
      </c>
      <c r="J109">
        <f t="shared" si="3"/>
        <v>-6070.9909493440064</v>
      </c>
    </row>
    <row r="110" spans="1:10" x14ac:dyDescent="0.3">
      <c r="A110" s="5" t="s">
        <v>53</v>
      </c>
      <c r="B110">
        <v>709478.39</v>
      </c>
      <c r="C110">
        <v>75265.02</v>
      </c>
      <c r="D110">
        <v>6975</v>
      </c>
      <c r="E110">
        <v>73.8</v>
      </c>
      <c r="F110">
        <v>1</v>
      </c>
      <c r="G110">
        <v>0</v>
      </c>
      <c r="H110">
        <v>0</v>
      </c>
      <c r="I110">
        <f t="shared" si="2"/>
        <v>664948.00306343252</v>
      </c>
      <c r="J110">
        <f t="shared" si="3"/>
        <v>44530.386936567491</v>
      </c>
    </row>
    <row r="111" spans="1:10" x14ac:dyDescent="0.3">
      <c r="A111" s="5" t="s">
        <v>53</v>
      </c>
      <c r="B111">
        <v>664162.49</v>
      </c>
      <c r="C111">
        <v>69411.7</v>
      </c>
      <c r="D111">
        <v>5493</v>
      </c>
      <c r="E111">
        <v>86.5</v>
      </c>
      <c r="F111">
        <v>1</v>
      </c>
      <c r="G111">
        <v>0</v>
      </c>
      <c r="H111">
        <v>0</v>
      </c>
      <c r="I111">
        <f t="shared" si="2"/>
        <v>643601.73066536093</v>
      </c>
      <c r="J111">
        <f t="shared" si="3"/>
        <v>20560.759334639064</v>
      </c>
    </row>
    <row r="112" spans="1:10" x14ac:dyDescent="0.3">
      <c r="A112" s="5" t="s">
        <v>53</v>
      </c>
      <c r="B112">
        <v>633494.21</v>
      </c>
      <c r="C112">
        <v>51056.15</v>
      </c>
      <c r="D112">
        <v>5686</v>
      </c>
      <c r="E112">
        <v>89.9</v>
      </c>
      <c r="F112">
        <v>1</v>
      </c>
      <c r="G112">
        <v>0</v>
      </c>
      <c r="H112">
        <v>0</v>
      </c>
      <c r="I112">
        <f t="shared" si="2"/>
        <v>637952.51881557947</v>
      </c>
      <c r="J112">
        <f t="shared" si="3"/>
        <v>-4458.3088155795122</v>
      </c>
    </row>
    <row r="113" spans="1:10" x14ac:dyDescent="0.3">
      <c r="A113" s="5" t="s">
        <v>53</v>
      </c>
      <c r="B113">
        <v>713611.16</v>
      </c>
      <c r="C113">
        <v>52758.01</v>
      </c>
      <c r="D113">
        <v>4063</v>
      </c>
      <c r="E113">
        <v>91.7</v>
      </c>
      <c r="F113">
        <v>1</v>
      </c>
      <c r="G113">
        <v>0</v>
      </c>
      <c r="H113">
        <v>0</v>
      </c>
      <c r="I113">
        <f t="shared" si="2"/>
        <v>590071.85791312135</v>
      </c>
      <c r="J113">
        <f t="shared" si="3"/>
        <v>123539.30208687868</v>
      </c>
    </row>
    <row r="114" spans="1:10" x14ac:dyDescent="0.3">
      <c r="A114" s="5" t="s">
        <v>54</v>
      </c>
      <c r="B114">
        <v>778397.97</v>
      </c>
      <c r="C114">
        <v>61426.04</v>
      </c>
      <c r="D114">
        <v>8966</v>
      </c>
      <c r="E114">
        <v>76.400000000000006</v>
      </c>
      <c r="F114">
        <v>0</v>
      </c>
      <c r="G114">
        <v>0</v>
      </c>
      <c r="H114">
        <v>1</v>
      </c>
      <c r="I114">
        <f t="shared" si="2"/>
        <v>740790.87810702529</v>
      </c>
      <c r="J114">
        <f t="shared" si="3"/>
        <v>37607.091892974684</v>
      </c>
    </row>
    <row r="115" spans="1:10" x14ac:dyDescent="0.3">
      <c r="A115" s="5" t="s">
        <v>54</v>
      </c>
      <c r="B115">
        <v>873380.02</v>
      </c>
      <c r="C115">
        <v>80176.34</v>
      </c>
      <c r="D115">
        <v>9489</v>
      </c>
      <c r="E115">
        <v>94.3</v>
      </c>
      <c r="F115">
        <v>0</v>
      </c>
      <c r="G115">
        <v>0</v>
      </c>
      <c r="H115">
        <v>1</v>
      </c>
      <c r="I115">
        <f t="shared" si="2"/>
        <v>831187.25523080421</v>
      </c>
      <c r="J115">
        <f t="shared" si="3"/>
        <v>42192.764769195812</v>
      </c>
    </row>
    <row r="116" spans="1:10" x14ac:dyDescent="0.3">
      <c r="A116" s="5" t="s">
        <v>54</v>
      </c>
      <c r="B116">
        <v>697287.9</v>
      </c>
      <c r="C116">
        <v>33605.18</v>
      </c>
      <c r="D116">
        <v>9225</v>
      </c>
      <c r="E116">
        <v>88.4</v>
      </c>
      <c r="F116">
        <v>0</v>
      </c>
      <c r="G116">
        <v>0</v>
      </c>
      <c r="H116">
        <v>1</v>
      </c>
      <c r="I116">
        <f t="shared" si="2"/>
        <v>750388.64745429344</v>
      </c>
      <c r="J116">
        <f t="shared" si="3"/>
        <v>-53100.747454293421</v>
      </c>
    </row>
    <row r="117" spans="1:10" x14ac:dyDescent="0.3">
      <c r="A117" s="5" t="s">
        <v>54</v>
      </c>
      <c r="B117">
        <v>718074.79</v>
      </c>
      <c r="C117">
        <v>25990.54</v>
      </c>
      <c r="D117">
        <v>9249</v>
      </c>
      <c r="E117">
        <v>92.5</v>
      </c>
      <c r="F117">
        <v>0</v>
      </c>
      <c r="G117">
        <v>0</v>
      </c>
      <c r="H117">
        <v>1</v>
      </c>
      <c r="I117">
        <f t="shared" si="2"/>
        <v>753725.87617605028</v>
      </c>
      <c r="J117">
        <f t="shared" si="3"/>
        <v>-35651.086176050245</v>
      </c>
    </row>
    <row r="118" spans="1:10" x14ac:dyDescent="0.3">
      <c r="A118" s="5" t="s">
        <v>55</v>
      </c>
      <c r="B118">
        <v>714942.43</v>
      </c>
      <c r="C118">
        <v>43685.14</v>
      </c>
      <c r="D118">
        <v>7821</v>
      </c>
      <c r="E118">
        <v>91</v>
      </c>
      <c r="F118">
        <v>0</v>
      </c>
      <c r="G118">
        <v>0</v>
      </c>
      <c r="H118">
        <v>1</v>
      </c>
      <c r="I118">
        <f t="shared" si="2"/>
        <v>722115.88129840838</v>
      </c>
      <c r="J118">
        <f t="shared" si="3"/>
        <v>-7173.4512984083267</v>
      </c>
    </row>
    <row r="119" spans="1:10" x14ac:dyDescent="0.3">
      <c r="A119" s="5" t="s">
        <v>55</v>
      </c>
      <c r="B119">
        <v>820519.04</v>
      </c>
      <c r="C119">
        <v>57360.01</v>
      </c>
      <c r="D119">
        <v>8434</v>
      </c>
      <c r="E119">
        <v>84.1</v>
      </c>
      <c r="F119">
        <v>0</v>
      </c>
      <c r="G119">
        <v>0</v>
      </c>
      <c r="H119">
        <v>1</v>
      </c>
      <c r="I119">
        <f t="shared" si="2"/>
        <v>739650.04402036138</v>
      </c>
      <c r="J119">
        <f t="shared" si="3"/>
        <v>80868.995979638654</v>
      </c>
    </row>
    <row r="120" spans="1:10" x14ac:dyDescent="0.3">
      <c r="A120" s="5" t="s">
        <v>55</v>
      </c>
      <c r="B120">
        <v>684217.32</v>
      </c>
      <c r="C120">
        <v>42415.47</v>
      </c>
      <c r="D120">
        <v>8512</v>
      </c>
      <c r="E120">
        <v>96.8</v>
      </c>
      <c r="F120">
        <v>0</v>
      </c>
      <c r="G120">
        <v>0</v>
      </c>
      <c r="H120">
        <v>1</v>
      </c>
      <c r="I120">
        <f t="shared" si="2"/>
        <v>760360.22178215114</v>
      </c>
      <c r="J120">
        <f t="shared" si="3"/>
        <v>-76142.901782151195</v>
      </c>
    </row>
    <row r="121" spans="1:10" x14ac:dyDescent="0.3">
      <c r="A121" s="5" t="s">
        <v>55</v>
      </c>
      <c r="B121">
        <v>735480.19</v>
      </c>
      <c r="C121">
        <v>54968.98</v>
      </c>
      <c r="D121">
        <v>7816</v>
      </c>
      <c r="E121">
        <v>95.7</v>
      </c>
      <c r="F121">
        <v>0</v>
      </c>
      <c r="G121">
        <v>0</v>
      </c>
      <c r="H121">
        <v>1</v>
      </c>
      <c r="I121">
        <f t="shared" si="2"/>
        <v>748573.76635246747</v>
      </c>
      <c r="J121">
        <f t="shared" si="3"/>
        <v>-13093.576352467528</v>
      </c>
    </row>
    <row r="122" spans="1:10" x14ac:dyDescent="0.3">
      <c r="A122" s="5" t="s">
        <v>56</v>
      </c>
      <c r="B122">
        <v>509484.81</v>
      </c>
      <c r="C122">
        <v>43896.13</v>
      </c>
      <c r="D122">
        <v>3853</v>
      </c>
      <c r="E122">
        <v>83</v>
      </c>
      <c r="F122">
        <v>0</v>
      </c>
      <c r="G122">
        <v>1</v>
      </c>
      <c r="H122">
        <v>0</v>
      </c>
      <c r="I122">
        <f t="shared" si="2"/>
        <v>558478.62149165699</v>
      </c>
      <c r="J122">
        <f t="shared" si="3"/>
        <v>-48993.81149165699</v>
      </c>
    </row>
    <row r="123" spans="1:10" x14ac:dyDescent="0.3">
      <c r="A123" s="5" t="s">
        <v>56</v>
      </c>
      <c r="B123">
        <v>654317.09</v>
      </c>
      <c r="C123">
        <v>83044.17</v>
      </c>
      <c r="D123">
        <v>3694</v>
      </c>
      <c r="E123">
        <v>89.4</v>
      </c>
      <c r="F123">
        <v>0</v>
      </c>
      <c r="G123">
        <v>1</v>
      </c>
      <c r="H123">
        <v>0</v>
      </c>
      <c r="I123">
        <f t="shared" si="2"/>
        <v>617555.9617710422</v>
      </c>
      <c r="J123">
        <f t="shared" si="3"/>
        <v>36761.128228957765</v>
      </c>
    </row>
    <row r="124" spans="1:10" x14ac:dyDescent="0.3">
      <c r="A124" s="5" t="s">
        <v>56</v>
      </c>
      <c r="B124">
        <v>557487.26</v>
      </c>
      <c r="C124">
        <v>48396.13</v>
      </c>
      <c r="D124">
        <v>4423</v>
      </c>
      <c r="E124">
        <v>85.7</v>
      </c>
      <c r="F124">
        <v>0</v>
      </c>
      <c r="G124">
        <v>1</v>
      </c>
      <c r="H124">
        <v>0</v>
      </c>
      <c r="I124">
        <f t="shared" si="2"/>
        <v>590730.53322455706</v>
      </c>
      <c r="J124">
        <f t="shared" si="3"/>
        <v>-33243.273224557051</v>
      </c>
    </row>
    <row r="125" spans="1:10" x14ac:dyDescent="0.3">
      <c r="A125" s="5" t="s">
        <v>56</v>
      </c>
      <c r="B125">
        <v>441275.42</v>
      </c>
      <c r="C125">
        <v>19063.48</v>
      </c>
      <c r="D125">
        <v>1906</v>
      </c>
      <c r="E125">
        <v>97.8</v>
      </c>
      <c r="F125">
        <v>0</v>
      </c>
      <c r="G125">
        <v>1</v>
      </c>
      <c r="H125">
        <v>0</v>
      </c>
      <c r="I125">
        <f t="shared" si="2"/>
        <v>504792.98204185237</v>
      </c>
      <c r="J125">
        <f t="shared" si="3"/>
        <v>-63517.56204185239</v>
      </c>
    </row>
    <row r="126" spans="1:10" x14ac:dyDescent="0.3">
      <c r="A126" s="5" t="s">
        <v>57</v>
      </c>
      <c r="B126">
        <v>914544.17</v>
      </c>
      <c r="C126">
        <v>61541.21</v>
      </c>
      <c r="D126">
        <v>10396</v>
      </c>
      <c r="E126">
        <v>88.1</v>
      </c>
      <c r="F126">
        <v>0</v>
      </c>
      <c r="G126">
        <v>0</v>
      </c>
      <c r="H126">
        <v>0</v>
      </c>
      <c r="I126">
        <f t="shared" si="2"/>
        <v>826784.29757507727</v>
      </c>
      <c r="J126">
        <f t="shared" si="3"/>
        <v>87759.872424922767</v>
      </c>
    </row>
    <row r="127" spans="1:10" x14ac:dyDescent="0.3">
      <c r="A127" s="5" t="s">
        <v>57</v>
      </c>
      <c r="B127">
        <v>842439.67</v>
      </c>
      <c r="C127">
        <v>44747</v>
      </c>
      <c r="D127">
        <v>11076</v>
      </c>
      <c r="E127">
        <v>98.3</v>
      </c>
      <c r="F127">
        <v>0</v>
      </c>
      <c r="G127">
        <v>0</v>
      </c>
      <c r="H127">
        <v>0</v>
      </c>
      <c r="I127">
        <f t="shared" si="2"/>
        <v>858645.40191009</v>
      </c>
      <c r="J127">
        <f t="shared" si="3"/>
        <v>-16205.731910089962</v>
      </c>
    </row>
    <row r="128" spans="1:10" x14ac:dyDescent="0.3">
      <c r="A128" s="5" t="s">
        <v>57</v>
      </c>
      <c r="B128">
        <v>842157.92</v>
      </c>
      <c r="C128">
        <v>56517.9</v>
      </c>
      <c r="D128">
        <v>9574</v>
      </c>
      <c r="E128">
        <v>88.2</v>
      </c>
      <c r="F128">
        <v>0</v>
      </c>
      <c r="G128">
        <v>0</v>
      </c>
      <c r="H128">
        <v>0</v>
      </c>
      <c r="I128">
        <f t="shared" si="2"/>
        <v>793267.41806344711</v>
      </c>
      <c r="J128">
        <f t="shared" si="3"/>
        <v>48890.50193655293</v>
      </c>
    </row>
    <row r="129" spans="1:10" x14ac:dyDescent="0.3">
      <c r="A129" s="5" t="s">
        <v>57</v>
      </c>
      <c r="B129">
        <v>697155.3</v>
      </c>
      <c r="C129">
        <v>37828.5</v>
      </c>
      <c r="D129">
        <v>8221</v>
      </c>
      <c r="E129">
        <v>81.5</v>
      </c>
      <c r="F129">
        <v>0</v>
      </c>
      <c r="G129">
        <v>0</v>
      </c>
      <c r="H129">
        <v>0</v>
      </c>
      <c r="I129">
        <f t="shared" si="2"/>
        <v>706394.72978758509</v>
      </c>
      <c r="J129">
        <f t="shared" si="3"/>
        <v>-9239.4297875850461</v>
      </c>
    </row>
    <row r="130" spans="1:10" x14ac:dyDescent="0.3">
      <c r="A130" s="5" t="s">
        <v>58</v>
      </c>
      <c r="B130">
        <v>849018.3</v>
      </c>
      <c r="C130">
        <v>66250.53</v>
      </c>
      <c r="D130">
        <v>10618</v>
      </c>
      <c r="E130">
        <v>88.3</v>
      </c>
      <c r="F130">
        <v>1</v>
      </c>
      <c r="G130">
        <v>0</v>
      </c>
      <c r="H130">
        <v>0</v>
      </c>
      <c r="I130">
        <f t="shared" ref="I130:I193" si="4">153400.7954+1.18591413*C130+33.87042078*D130+2818.206779*E130-21940.48828*F130-11393.10865*G130-4449.116708*H130</f>
        <v>818511.53319472889</v>
      </c>
      <c r="J130">
        <f t="shared" ref="J130:J193" si="5">B130-I130</f>
        <v>30506.766805271152</v>
      </c>
    </row>
    <row r="131" spans="1:10" x14ac:dyDescent="0.3">
      <c r="A131" s="5" t="s">
        <v>58</v>
      </c>
      <c r="B131">
        <v>801830.35</v>
      </c>
      <c r="C131">
        <v>68410.929999999993</v>
      </c>
      <c r="D131">
        <v>10596</v>
      </c>
      <c r="E131">
        <v>81.2</v>
      </c>
      <c r="F131">
        <v>1</v>
      </c>
      <c r="G131">
        <v>0</v>
      </c>
      <c r="H131">
        <v>0</v>
      </c>
      <c r="I131">
        <f t="shared" si="4"/>
        <v>800319.16469312087</v>
      </c>
      <c r="J131">
        <f t="shared" si="5"/>
        <v>1511.1853068791097</v>
      </c>
    </row>
    <row r="132" spans="1:10" x14ac:dyDescent="0.3">
      <c r="A132" s="5" t="s">
        <v>58</v>
      </c>
      <c r="B132">
        <v>725235.28</v>
      </c>
      <c r="C132">
        <v>50735.63</v>
      </c>
      <c r="D132">
        <v>9619</v>
      </c>
      <c r="E132">
        <v>93.8</v>
      </c>
      <c r="F132">
        <v>1</v>
      </c>
      <c r="G132">
        <v>0</v>
      </c>
      <c r="H132">
        <v>0</v>
      </c>
      <c r="I132">
        <f t="shared" si="4"/>
        <v>781775.7809844719</v>
      </c>
      <c r="J132">
        <f t="shared" si="5"/>
        <v>-56540.500984471873</v>
      </c>
    </row>
    <row r="133" spans="1:10" x14ac:dyDescent="0.3">
      <c r="A133" s="5" t="s">
        <v>58</v>
      </c>
      <c r="B133">
        <v>811452.72</v>
      </c>
      <c r="C133">
        <v>66455.8</v>
      </c>
      <c r="D133">
        <v>10836</v>
      </c>
      <c r="E133">
        <v>85</v>
      </c>
      <c r="F133">
        <v>1</v>
      </c>
      <c r="G133">
        <v>0</v>
      </c>
      <c r="H133">
        <v>0</v>
      </c>
      <c r="I133">
        <f t="shared" si="4"/>
        <v>816838.63514753408</v>
      </c>
      <c r="J133">
        <f t="shared" si="5"/>
        <v>-5385.9151475341059</v>
      </c>
    </row>
    <row r="134" spans="1:10" x14ac:dyDescent="0.3">
      <c r="A134" s="5" t="s">
        <v>59</v>
      </c>
      <c r="B134">
        <v>527300.13</v>
      </c>
      <c r="C134">
        <v>70276.28</v>
      </c>
      <c r="D134">
        <v>3043</v>
      </c>
      <c r="E134">
        <v>87.9</v>
      </c>
      <c r="F134">
        <v>0</v>
      </c>
      <c r="G134">
        <v>1</v>
      </c>
      <c r="H134">
        <v>0</v>
      </c>
      <c r="I134">
        <f t="shared" si="4"/>
        <v>576137.38651347649</v>
      </c>
      <c r="J134">
        <f t="shared" si="5"/>
        <v>-48837.256513476488</v>
      </c>
    </row>
    <row r="135" spans="1:10" x14ac:dyDescent="0.3">
      <c r="A135" s="5" t="s">
        <v>59</v>
      </c>
      <c r="B135">
        <v>400831.65</v>
      </c>
      <c r="C135">
        <v>22071.64</v>
      </c>
      <c r="D135">
        <v>1814</v>
      </c>
      <c r="E135">
        <v>81.099999999999994</v>
      </c>
      <c r="F135">
        <v>0</v>
      </c>
      <c r="G135">
        <v>1</v>
      </c>
      <c r="H135">
        <v>0</v>
      </c>
      <c r="I135">
        <f t="shared" si="4"/>
        <v>458180.26957009319</v>
      </c>
      <c r="J135">
        <f t="shared" si="5"/>
        <v>-57348.619570093171</v>
      </c>
    </row>
    <row r="136" spans="1:10" x14ac:dyDescent="0.3">
      <c r="A136" s="5" t="s">
        <v>59</v>
      </c>
      <c r="B136">
        <v>593247.25</v>
      </c>
      <c r="C136">
        <v>52285.45</v>
      </c>
      <c r="D136">
        <v>3618</v>
      </c>
      <c r="E136">
        <v>95.6</v>
      </c>
      <c r="F136">
        <v>0</v>
      </c>
      <c r="G136">
        <v>1</v>
      </c>
      <c r="H136">
        <v>0</v>
      </c>
      <c r="I136">
        <f t="shared" si="4"/>
        <v>595977.49115284847</v>
      </c>
      <c r="J136">
        <f t="shared" si="5"/>
        <v>-2730.2411528484663</v>
      </c>
    </row>
    <row r="137" spans="1:10" x14ac:dyDescent="0.3">
      <c r="A137" s="5" t="s">
        <v>59</v>
      </c>
      <c r="B137">
        <v>529075.94999999995</v>
      </c>
      <c r="C137">
        <v>70366.759999999995</v>
      </c>
      <c r="D137">
        <v>1963</v>
      </c>
      <c r="E137">
        <v>89.8</v>
      </c>
      <c r="F137">
        <v>0</v>
      </c>
      <c r="G137">
        <v>1</v>
      </c>
      <c r="H137">
        <v>0</v>
      </c>
      <c r="I137">
        <f t="shared" si="4"/>
        <v>545019.22646165884</v>
      </c>
      <c r="J137">
        <f t="shared" si="5"/>
        <v>-15943.276461658883</v>
      </c>
    </row>
    <row r="138" spans="1:10" x14ac:dyDescent="0.3">
      <c r="A138" s="5" t="s">
        <v>60</v>
      </c>
      <c r="B138">
        <v>633638.03</v>
      </c>
      <c r="C138">
        <v>71320.66</v>
      </c>
      <c r="D138">
        <v>7888</v>
      </c>
      <c r="E138">
        <v>78.099999999999994</v>
      </c>
      <c r="F138">
        <v>0</v>
      </c>
      <c r="G138">
        <v>0</v>
      </c>
      <c r="H138">
        <v>0</v>
      </c>
      <c r="I138">
        <f t="shared" si="4"/>
        <v>725252.80240746588</v>
      </c>
      <c r="J138">
        <f t="shared" si="5"/>
        <v>-91614.772407465847</v>
      </c>
    </row>
    <row r="139" spans="1:10" x14ac:dyDescent="0.3">
      <c r="A139" s="5" t="s">
        <v>60</v>
      </c>
      <c r="B139">
        <v>743348.84</v>
      </c>
      <c r="C139">
        <v>75109.67</v>
      </c>
      <c r="D139">
        <v>6244</v>
      </c>
      <c r="E139">
        <v>96.3</v>
      </c>
      <c r="F139">
        <v>0</v>
      </c>
      <c r="G139">
        <v>0</v>
      </c>
      <c r="H139">
        <v>0</v>
      </c>
      <c r="I139">
        <f t="shared" si="4"/>
        <v>725354.63452065713</v>
      </c>
      <c r="J139">
        <f t="shared" si="5"/>
        <v>17994.20547934284</v>
      </c>
    </row>
    <row r="140" spans="1:10" x14ac:dyDescent="0.3">
      <c r="A140" s="5" t="s">
        <v>60</v>
      </c>
      <c r="B140">
        <v>758827.64</v>
      </c>
      <c r="C140">
        <v>69779</v>
      </c>
      <c r="D140">
        <v>6544</v>
      </c>
      <c r="E140">
        <v>90.2</v>
      </c>
      <c r="F140">
        <v>0</v>
      </c>
      <c r="G140">
        <v>0</v>
      </c>
      <c r="H140">
        <v>0</v>
      </c>
      <c r="I140">
        <f t="shared" si="4"/>
        <v>712002.98252739001</v>
      </c>
      <c r="J140">
        <f t="shared" si="5"/>
        <v>46824.657472610008</v>
      </c>
    </row>
    <row r="141" spans="1:10" x14ac:dyDescent="0.3">
      <c r="A141" s="5" t="s">
        <v>60</v>
      </c>
      <c r="B141">
        <v>646559.71</v>
      </c>
      <c r="C141">
        <v>44211.95</v>
      </c>
      <c r="D141">
        <v>5465</v>
      </c>
      <c r="E141">
        <v>90</v>
      </c>
      <c r="F141">
        <v>0</v>
      </c>
      <c r="G141">
        <v>0</v>
      </c>
      <c r="H141">
        <v>0</v>
      </c>
      <c r="I141">
        <f t="shared" si="4"/>
        <v>644572.83129255357</v>
      </c>
      <c r="J141">
        <f t="shared" si="5"/>
        <v>1986.8787074463908</v>
      </c>
    </row>
    <row r="142" spans="1:10" x14ac:dyDescent="0.3">
      <c r="A142" s="5" t="s">
        <v>61</v>
      </c>
      <c r="B142">
        <v>715890.53</v>
      </c>
      <c r="C142">
        <v>51430.31</v>
      </c>
      <c r="D142">
        <v>6427</v>
      </c>
      <c r="E142">
        <v>88.8</v>
      </c>
      <c r="F142">
        <v>0</v>
      </c>
      <c r="G142">
        <v>0</v>
      </c>
      <c r="H142">
        <v>1</v>
      </c>
      <c r="I142">
        <f t="shared" si="4"/>
        <v>677885.56635954033</v>
      </c>
      <c r="J142">
        <f t="shared" si="5"/>
        <v>38004.963640459697</v>
      </c>
    </row>
    <row r="143" spans="1:10" x14ac:dyDescent="0.3">
      <c r="A143" s="5" t="s">
        <v>61</v>
      </c>
      <c r="B143">
        <v>715097.57</v>
      </c>
      <c r="C143">
        <v>45706.49</v>
      </c>
      <c r="D143">
        <v>6704</v>
      </c>
      <c r="E143">
        <v>94.2</v>
      </c>
      <c r="F143">
        <v>0</v>
      </c>
      <c r="G143">
        <v>0</v>
      </c>
      <c r="H143">
        <v>1</v>
      </c>
      <c r="I143">
        <f t="shared" si="4"/>
        <v>695698.03050662391</v>
      </c>
      <c r="J143">
        <f t="shared" si="5"/>
        <v>19399.53949337604</v>
      </c>
    </row>
    <row r="144" spans="1:10" x14ac:dyDescent="0.3">
      <c r="A144" s="5" t="s">
        <v>61</v>
      </c>
      <c r="B144">
        <v>682639.28</v>
      </c>
      <c r="C144">
        <v>44034.6</v>
      </c>
      <c r="D144">
        <v>5645</v>
      </c>
      <c r="E144">
        <v>88.5</v>
      </c>
      <c r="F144">
        <v>0</v>
      </c>
      <c r="G144">
        <v>0</v>
      </c>
      <c r="H144">
        <v>1</v>
      </c>
      <c r="I144">
        <f t="shared" si="4"/>
        <v>641782.75828549801</v>
      </c>
      <c r="J144">
        <f t="shared" si="5"/>
        <v>40856.521714502014</v>
      </c>
    </row>
    <row r="145" spans="1:10" x14ac:dyDescent="0.3">
      <c r="A145" s="5" t="s">
        <v>61</v>
      </c>
      <c r="B145">
        <v>695098.51</v>
      </c>
      <c r="C145">
        <v>50198.12</v>
      </c>
      <c r="D145">
        <v>6089</v>
      </c>
      <c r="E145">
        <v>94</v>
      </c>
      <c r="F145">
        <v>0</v>
      </c>
      <c r="G145">
        <v>0</v>
      </c>
      <c r="H145">
        <v>1</v>
      </c>
      <c r="I145">
        <f t="shared" si="4"/>
        <v>679630.76785485563</v>
      </c>
      <c r="J145">
        <f t="shared" si="5"/>
        <v>15467.742145144381</v>
      </c>
    </row>
    <row r="146" spans="1:10" x14ac:dyDescent="0.3">
      <c r="A146" s="5" t="s">
        <v>62</v>
      </c>
      <c r="B146">
        <v>577732.56999999995</v>
      </c>
      <c r="C146">
        <v>70488.2</v>
      </c>
      <c r="D146">
        <v>4312</v>
      </c>
      <c r="E146">
        <v>90.2</v>
      </c>
      <c r="F146">
        <v>0</v>
      </c>
      <c r="G146">
        <v>1</v>
      </c>
      <c r="H146">
        <v>0</v>
      </c>
      <c r="I146">
        <f t="shared" si="4"/>
        <v>625852.14499742608</v>
      </c>
      <c r="J146">
        <f t="shared" si="5"/>
        <v>-48119.574997426127</v>
      </c>
    </row>
    <row r="147" spans="1:10" x14ac:dyDescent="0.3">
      <c r="A147" s="5" t="s">
        <v>62</v>
      </c>
      <c r="B147">
        <v>537058.32999999996</v>
      </c>
      <c r="C147">
        <v>50909.27</v>
      </c>
      <c r="D147">
        <v>3152</v>
      </c>
      <c r="E147">
        <v>93.7</v>
      </c>
      <c r="F147">
        <v>0</v>
      </c>
      <c r="G147">
        <v>1</v>
      </c>
      <c r="H147">
        <v>0</v>
      </c>
      <c r="I147">
        <f t="shared" si="4"/>
        <v>573207.25088184525</v>
      </c>
      <c r="J147">
        <f t="shared" si="5"/>
        <v>-36148.92088184529</v>
      </c>
    </row>
    <row r="148" spans="1:10" x14ac:dyDescent="0.3">
      <c r="A148" s="5" t="s">
        <v>62</v>
      </c>
      <c r="B148">
        <v>601568.87</v>
      </c>
      <c r="C148">
        <v>53351.7</v>
      </c>
      <c r="D148">
        <v>4259</v>
      </c>
      <c r="E148">
        <v>93.7</v>
      </c>
      <c r="F148">
        <v>0</v>
      </c>
      <c r="G148">
        <v>1</v>
      </c>
      <c r="H148">
        <v>0</v>
      </c>
      <c r="I148">
        <f t="shared" si="4"/>
        <v>613598.31893384107</v>
      </c>
      <c r="J148">
        <f t="shared" si="5"/>
        <v>-12029.448933841079</v>
      </c>
    </row>
    <row r="149" spans="1:10" x14ac:dyDescent="0.3">
      <c r="A149" s="5" t="s">
        <v>62</v>
      </c>
      <c r="B149">
        <v>570964.84</v>
      </c>
      <c r="C149">
        <v>60322.400000000001</v>
      </c>
      <c r="D149">
        <v>3350</v>
      </c>
      <c r="E149">
        <v>89.4</v>
      </c>
      <c r="F149">
        <v>0</v>
      </c>
      <c r="G149">
        <v>1</v>
      </c>
      <c r="H149">
        <v>0</v>
      </c>
      <c r="I149">
        <f t="shared" si="4"/>
        <v>578958.46892111201</v>
      </c>
      <c r="J149">
        <f t="shared" si="5"/>
        <v>-7993.6289211120456</v>
      </c>
    </row>
    <row r="150" spans="1:10" x14ac:dyDescent="0.3">
      <c r="A150" s="5" t="s">
        <v>63</v>
      </c>
      <c r="B150">
        <v>614024.91</v>
      </c>
      <c r="C150">
        <v>51575.68</v>
      </c>
      <c r="D150">
        <v>5329</v>
      </c>
      <c r="E150">
        <v>88.1</v>
      </c>
      <c r="F150">
        <v>0</v>
      </c>
      <c r="G150">
        <v>0</v>
      </c>
      <c r="H150">
        <v>0</v>
      </c>
      <c r="I150">
        <f t="shared" si="4"/>
        <v>643344.61264287843</v>
      </c>
      <c r="J150">
        <f t="shared" si="5"/>
        <v>-29319.702642878401</v>
      </c>
    </row>
    <row r="151" spans="1:10" x14ac:dyDescent="0.3">
      <c r="A151" s="5" t="s">
        <v>63</v>
      </c>
      <c r="B151">
        <v>712868.35</v>
      </c>
      <c r="C151">
        <v>43319.94</v>
      </c>
      <c r="D151">
        <v>6551</v>
      </c>
      <c r="E151">
        <v>99</v>
      </c>
      <c r="F151">
        <v>0</v>
      </c>
      <c r="G151">
        <v>0</v>
      </c>
      <c r="H151">
        <v>0</v>
      </c>
      <c r="I151">
        <f t="shared" si="4"/>
        <v>705662.12200753228</v>
      </c>
      <c r="J151">
        <f t="shared" si="5"/>
        <v>7206.2279924676986</v>
      </c>
    </row>
    <row r="152" spans="1:10" x14ac:dyDescent="0.3">
      <c r="A152" s="5" t="s">
        <v>63</v>
      </c>
      <c r="B152">
        <v>696744.15</v>
      </c>
      <c r="C152">
        <v>47093.55</v>
      </c>
      <c r="D152">
        <v>5550</v>
      </c>
      <c r="E152">
        <v>95</v>
      </c>
      <c r="F152">
        <v>0</v>
      </c>
      <c r="G152">
        <v>0</v>
      </c>
      <c r="H152">
        <v>0</v>
      </c>
      <c r="I152">
        <f t="shared" si="4"/>
        <v>664960.18111086148</v>
      </c>
      <c r="J152">
        <f t="shared" si="5"/>
        <v>31783.968889138545</v>
      </c>
    </row>
    <row r="153" spans="1:10" x14ac:dyDescent="0.3">
      <c r="A153" s="5" t="s">
        <v>63</v>
      </c>
      <c r="B153">
        <v>725847.99</v>
      </c>
      <c r="C153">
        <v>71855.09</v>
      </c>
      <c r="D153">
        <v>5911</v>
      </c>
      <c r="E153">
        <v>94.3</v>
      </c>
      <c r="F153">
        <v>0</v>
      </c>
      <c r="G153">
        <v>0</v>
      </c>
      <c r="H153">
        <v>0</v>
      </c>
      <c r="I153">
        <f t="shared" si="4"/>
        <v>704579.71843370167</v>
      </c>
      <c r="J153">
        <f t="shared" si="5"/>
        <v>21268.271566298325</v>
      </c>
    </row>
    <row r="154" spans="1:10" x14ac:dyDescent="0.3">
      <c r="A154" s="5" t="s">
        <v>64</v>
      </c>
      <c r="B154">
        <v>785028.25</v>
      </c>
      <c r="C154">
        <v>75645.23</v>
      </c>
      <c r="D154">
        <v>9674</v>
      </c>
      <c r="E154">
        <v>87.4</v>
      </c>
      <c r="F154">
        <v>1</v>
      </c>
      <c r="G154">
        <v>0</v>
      </c>
      <c r="H154">
        <v>0</v>
      </c>
      <c r="I154">
        <f t="shared" si="4"/>
        <v>795142.77735441981</v>
      </c>
      <c r="J154">
        <f t="shared" si="5"/>
        <v>-10114.527354419813</v>
      </c>
    </row>
    <row r="155" spans="1:10" x14ac:dyDescent="0.3">
      <c r="A155" s="5" t="s">
        <v>64</v>
      </c>
      <c r="B155">
        <v>698492.67</v>
      </c>
      <c r="C155">
        <v>64374.75</v>
      </c>
      <c r="D155">
        <v>6740</v>
      </c>
      <c r="E155">
        <v>87</v>
      </c>
      <c r="F155">
        <v>1</v>
      </c>
      <c r="G155">
        <v>0</v>
      </c>
      <c r="H155">
        <v>0</v>
      </c>
      <c r="I155">
        <f t="shared" si="4"/>
        <v>681273.85859041743</v>
      </c>
      <c r="J155">
        <f t="shared" si="5"/>
        <v>17218.811409582617</v>
      </c>
    </row>
    <row r="156" spans="1:10" x14ac:dyDescent="0.3">
      <c r="A156" s="5" t="s">
        <v>64</v>
      </c>
      <c r="B156">
        <v>685830.24</v>
      </c>
      <c r="C156">
        <v>61433.84</v>
      </c>
      <c r="D156">
        <v>7745</v>
      </c>
      <c r="E156">
        <v>90.5</v>
      </c>
      <c r="F156">
        <v>1</v>
      </c>
      <c r="G156">
        <v>0</v>
      </c>
      <c r="H156">
        <v>0</v>
      </c>
      <c r="I156">
        <f t="shared" si="4"/>
        <v>721689.68847675913</v>
      </c>
      <c r="J156">
        <f t="shared" si="5"/>
        <v>-35859.448476759135</v>
      </c>
    </row>
    <row r="157" spans="1:10" x14ac:dyDescent="0.3">
      <c r="A157" s="5" t="s">
        <v>64</v>
      </c>
      <c r="B157">
        <v>702318.94</v>
      </c>
      <c r="C157">
        <v>42698.14</v>
      </c>
      <c r="D157">
        <v>7693</v>
      </c>
      <c r="E157">
        <v>90.1</v>
      </c>
      <c r="F157">
        <v>1</v>
      </c>
      <c r="G157">
        <v>0</v>
      </c>
      <c r="H157">
        <v>0</v>
      </c>
      <c r="I157">
        <f t="shared" si="4"/>
        <v>696582.21251915826</v>
      </c>
      <c r="J157">
        <f t="shared" si="5"/>
        <v>5736.7274808416842</v>
      </c>
    </row>
    <row r="158" spans="1:10" x14ac:dyDescent="0.3">
      <c r="A158" s="5" t="s">
        <v>65</v>
      </c>
      <c r="B158">
        <v>700078.32</v>
      </c>
      <c r="C158">
        <v>86883.31</v>
      </c>
      <c r="D158">
        <v>6424</v>
      </c>
      <c r="E158">
        <v>85.2</v>
      </c>
      <c r="F158">
        <v>0</v>
      </c>
      <c r="G158">
        <v>1</v>
      </c>
      <c r="H158">
        <v>0</v>
      </c>
      <c r="I158">
        <f t="shared" si="4"/>
        <v>702738.63240169035</v>
      </c>
      <c r="J158">
        <f t="shared" si="5"/>
        <v>-2660.3124016904039</v>
      </c>
    </row>
    <row r="159" spans="1:10" x14ac:dyDescent="0.3">
      <c r="A159" s="5" t="s">
        <v>65</v>
      </c>
      <c r="B159">
        <v>602002.31999999995</v>
      </c>
      <c r="C159">
        <v>41863.08</v>
      </c>
      <c r="D159">
        <v>5400</v>
      </c>
      <c r="E159">
        <v>91.6</v>
      </c>
      <c r="F159">
        <v>0</v>
      </c>
      <c r="G159">
        <v>1</v>
      </c>
      <c r="H159">
        <v>0</v>
      </c>
      <c r="I159">
        <f t="shared" si="4"/>
        <v>632701.71801572049</v>
      </c>
      <c r="J159">
        <f t="shared" si="5"/>
        <v>-30699.398015720537</v>
      </c>
    </row>
    <row r="160" spans="1:10" x14ac:dyDescent="0.3">
      <c r="A160" s="5" t="s">
        <v>65</v>
      </c>
      <c r="B160">
        <v>724216.07</v>
      </c>
      <c r="C160">
        <v>56918.16</v>
      </c>
      <c r="D160">
        <v>7015</v>
      </c>
      <c r="E160">
        <v>74.2</v>
      </c>
      <c r="F160">
        <v>0</v>
      </c>
      <c r="G160">
        <v>1</v>
      </c>
      <c r="H160">
        <v>0</v>
      </c>
      <c r="I160">
        <f t="shared" si="4"/>
        <v>656219.68172110082</v>
      </c>
      <c r="J160">
        <f t="shared" si="5"/>
        <v>67996.388278899132</v>
      </c>
    </row>
    <row r="161" spans="1:10" x14ac:dyDescent="0.3">
      <c r="A161" s="5" t="s">
        <v>65</v>
      </c>
      <c r="B161">
        <v>620973.03</v>
      </c>
      <c r="C161">
        <v>23254.57</v>
      </c>
      <c r="D161">
        <v>3847</v>
      </c>
      <c r="E161">
        <v>93</v>
      </c>
      <c r="F161">
        <v>0</v>
      </c>
      <c r="G161">
        <v>1</v>
      </c>
      <c r="H161">
        <v>0</v>
      </c>
      <c r="I161">
        <f t="shared" si="4"/>
        <v>561978.34908773412</v>
      </c>
      <c r="J161">
        <f t="shared" si="5"/>
        <v>58994.680912265903</v>
      </c>
    </row>
    <row r="162" spans="1:10" x14ac:dyDescent="0.3">
      <c r="A162" s="5" t="s">
        <v>66</v>
      </c>
      <c r="B162">
        <v>650480.06000000006</v>
      </c>
      <c r="C162">
        <v>41443.410000000003</v>
      </c>
      <c r="D162">
        <v>7455</v>
      </c>
      <c r="E162">
        <v>90.1</v>
      </c>
      <c r="F162">
        <v>0</v>
      </c>
      <c r="G162">
        <v>0</v>
      </c>
      <c r="H162">
        <v>0</v>
      </c>
      <c r="I162">
        <f t="shared" si="4"/>
        <v>708973.53861718334</v>
      </c>
      <c r="J162">
        <f t="shared" si="5"/>
        <v>-58493.478617183282</v>
      </c>
    </row>
    <row r="163" spans="1:10" x14ac:dyDescent="0.3">
      <c r="A163" s="5" t="s">
        <v>66</v>
      </c>
      <c r="B163">
        <v>778298.88</v>
      </c>
      <c r="C163">
        <v>48438.85</v>
      </c>
      <c r="D163">
        <v>6992</v>
      </c>
      <c r="E163">
        <v>91</v>
      </c>
      <c r="F163">
        <v>0</v>
      </c>
      <c r="G163">
        <v>0</v>
      </c>
      <c r="H163">
        <v>0</v>
      </c>
      <c r="I163">
        <f t="shared" si="4"/>
        <v>704123.9110387105</v>
      </c>
      <c r="J163">
        <f t="shared" si="5"/>
        <v>74174.968961289502</v>
      </c>
    </row>
    <row r="164" spans="1:10" x14ac:dyDescent="0.3">
      <c r="A164" s="5" t="s">
        <v>66</v>
      </c>
      <c r="B164">
        <v>677096.71</v>
      </c>
      <c r="C164">
        <v>57143.3</v>
      </c>
      <c r="D164">
        <v>8038</v>
      </c>
      <c r="E164">
        <v>72.599999999999994</v>
      </c>
      <c r="F164">
        <v>0</v>
      </c>
      <c r="G164">
        <v>0</v>
      </c>
      <c r="H164">
        <v>0</v>
      </c>
      <c r="I164">
        <f t="shared" si="4"/>
        <v>698020.09668986895</v>
      </c>
      <c r="J164">
        <f t="shared" si="5"/>
        <v>-20923.386689868988</v>
      </c>
    </row>
    <row r="165" spans="1:10" x14ac:dyDescent="0.3">
      <c r="A165" s="5" t="s">
        <v>66</v>
      </c>
      <c r="B165">
        <v>692008.64</v>
      </c>
      <c r="C165">
        <v>66870.62</v>
      </c>
      <c r="D165">
        <v>6055</v>
      </c>
      <c r="E165">
        <v>93.8</v>
      </c>
      <c r="F165">
        <v>0</v>
      </c>
      <c r="G165">
        <v>0</v>
      </c>
      <c r="H165">
        <v>0</v>
      </c>
      <c r="I165">
        <f t="shared" si="4"/>
        <v>702136.80223296059</v>
      </c>
      <c r="J165">
        <f t="shared" si="5"/>
        <v>-10128.162232960574</v>
      </c>
    </row>
    <row r="166" spans="1:10" x14ac:dyDescent="0.3">
      <c r="A166" s="5" t="s">
        <v>67</v>
      </c>
      <c r="B166">
        <v>825797.91</v>
      </c>
      <c r="C166">
        <v>72150.53</v>
      </c>
      <c r="D166">
        <v>9323</v>
      </c>
      <c r="E166">
        <v>82.9</v>
      </c>
      <c r="F166">
        <v>0</v>
      </c>
      <c r="G166">
        <v>1</v>
      </c>
      <c r="H166">
        <v>0</v>
      </c>
      <c r="I166">
        <f t="shared" si="4"/>
        <v>776975.294675029</v>
      </c>
      <c r="J166">
        <f t="shared" si="5"/>
        <v>48822.615324971033</v>
      </c>
    </row>
    <row r="167" spans="1:10" x14ac:dyDescent="0.3">
      <c r="A167" s="5" t="s">
        <v>67</v>
      </c>
      <c r="B167">
        <v>706285.52</v>
      </c>
      <c r="C167">
        <v>35303.300000000003</v>
      </c>
      <c r="D167">
        <v>8789</v>
      </c>
      <c r="E167">
        <v>86.1</v>
      </c>
      <c r="F167">
        <v>0</v>
      </c>
      <c r="G167">
        <v>1</v>
      </c>
      <c r="H167">
        <v>0</v>
      </c>
      <c r="I167">
        <f t="shared" si="4"/>
        <v>724209.1009629491</v>
      </c>
      <c r="J167">
        <f t="shared" si="5"/>
        <v>-17923.580962949083</v>
      </c>
    </row>
    <row r="168" spans="1:10" x14ac:dyDescent="0.3">
      <c r="A168" s="5" t="s">
        <v>67</v>
      </c>
      <c r="B168">
        <v>665534.69999999995</v>
      </c>
      <c r="C168">
        <v>30301.86</v>
      </c>
      <c r="D168">
        <v>6939</v>
      </c>
      <c r="E168">
        <v>90.3</v>
      </c>
      <c r="F168">
        <v>0</v>
      </c>
      <c r="G168">
        <v>1</v>
      </c>
      <c r="H168">
        <v>0</v>
      </c>
      <c r="I168">
        <f t="shared" si="4"/>
        <v>667454.01262540184</v>
      </c>
      <c r="J168">
        <f t="shared" si="5"/>
        <v>-1919.3126254018862</v>
      </c>
    </row>
    <row r="169" spans="1:10" x14ac:dyDescent="0.3">
      <c r="A169" s="5" t="s">
        <v>67</v>
      </c>
      <c r="B169">
        <v>820729.29</v>
      </c>
      <c r="C169">
        <v>78432.14</v>
      </c>
      <c r="D169">
        <v>9440</v>
      </c>
      <c r="E169">
        <v>89.2</v>
      </c>
      <c r="F169">
        <v>0</v>
      </c>
      <c r="G169">
        <v>1</v>
      </c>
      <c r="H169">
        <v>0</v>
      </c>
      <c r="I169">
        <f t="shared" si="4"/>
        <v>806142.28667213826</v>
      </c>
      <c r="J169">
        <f t="shared" si="5"/>
        <v>14587.003327861778</v>
      </c>
    </row>
    <row r="170" spans="1:10" x14ac:dyDescent="0.3">
      <c r="A170" s="5" t="s">
        <v>68</v>
      </c>
      <c r="B170">
        <v>739831.73</v>
      </c>
      <c r="C170">
        <v>62059.18</v>
      </c>
      <c r="D170">
        <v>9374</v>
      </c>
      <c r="E170">
        <v>87.1</v>
      </c>
      <c r="F170">
        <v>1</v>
      </c>
      <c r="G170">
        <v>0</v>
      </c>
      <c r="H170">
        <v>0</v>
      </c>
      <c r="I170">
        <f t="shared" si="4"/>
        <v>768024.3004208334</v>
      </c>
      <c r="J170">
        <f t="shared" si="5"/>
        <v>-28192.570420833421</v>
      </c>
    </row>
    <row r="171" spans="1:10" x14ac:dyDescent="0.3">
      <c r="A171" s="5" t="s">
        <v>68</v>
      </c>
      <c r="B171">
        <v>593637.14</v>
      </c>
      <c r="C171">
        <v>32834.480000000003</v>
      </c>
      <c r="D171">
        <v>7576</v>
      </c>
      <c r="E171">
        <v>84.1</v>
      </c>
      <c r="F171">
        <v>1</v>
      </c>
      <c r="G171">
        <v>0</v>
      </c>
      <c r="H171">
        <v>0</v>
      </c>
      <c r="I171">
        <f t="shared" si="4"/>
        <v>664012.67884638242</v>
      </c>
      <c r="J171">
        <f t="shared" si="5"/>
        <v>-70375.538846382406</v>
      </c>
    </row>
    <row r="172" spans="1:10" x14ac:dyDescent="0.3">
      <c r="A172" s="5" t="s">
        <v>68</v>
      </c>
      <c r="B172">
        <v>769702.76</v>
      </c>
      <c r="C172">
        <v>50825.08</v>
      </c>
      <c r="D172">
        <v>8949</v>
      </c>
      <c r="E172">
        <v>84.7</v>
      </c>
      <c r="F172">
        <v>1</v>
      </c>
      <c r="G172">
        <v>0</v>
      </c>
      <c r="H172">
        <v>0</v>
      </c>
      <c r="I172">
        <f t="shared" si="4"/>
        <v>733542.9973919004</v>
      </c>
      <c r="J172">
        <f t="shared" si="5"/>
        <v>36159.762608099612</v>
      </c>
    </row>
    <row r="173" spans="1:10" x14ac:dyDescent="0.3">
      <c r="A173" s="5" t="s">
        <v>68</v>
      </c>
      <c r="B173">
        <v>679731.57</v>
      </c>
      <c r="C173">
        <v>36606.51</v>
      </c>
      <c r="D173">
        <v>7671</v>
      </c>
      <c r="E173">
        <v>89.8</v>
      </c>
      <c r="F173">
        <v>1</v>
      </c>
      <c r="G173">
        <v>0</v>
      </c>
      <c r="H173">
        <v>0</v>
      </c>
      <c r="I173">
        <f t="shared" si="4"/>
        <v>687767.45113656623</v>
      </c>
      <c r="J173">
        <f t="shared" si="5"/>
        <v>-8035.8811365662841</v>
      </c>
    </row>
    <row r="174" spans="1:10" x14ac:dyDescent="0.3">
      <c r="A174" s="5" t="s">
        <v>69</v>
      </c>
      <c r="B174">
        <v>780344.18</v>
      </c>
      <c r="C174">
        <v>65237.79</v>
      </c>
      <c r="D174">
        <v>8741</v>
      </c>
      <c r="E174">
        <v>94.4</v>
      </c>
      <c r="F174">
        <v>1</v>
      </c>
      <c r="G174">
        <v>0</v>
      </c>
      <c r="H174">
        <v>0</v>
      </c>
      <c r="I174">
        <f t="shared" si="4"/>
        <v>770926.79206655279</v>
      </c>
      <c r="J174">
        <f t="shared" si="5"/>
        <v>9417.3879334472585</v>
      </c>
    </row>
    <row r="175" spans="1:10" x14ac:dyDescent="0.3">
      <c r="A175" s="5" t="s">
        <v>69</v>
      </c>
      <c r="B175">
        <v>721364.11</v>
      </c>
      <c r="C175">
        <v>43645.98</v>
      </c>
      <c r="D175">
        <v>9480</v>
      </c>
      <c r="E175">
        <v>89</v>
      </c>
      <c r="F175">
        <v>1</v>
      </c>
      <c r="G175">
        <v>0</v>
      </c>
      <c r="H175">
        <v>0</v>
      </c>
      <c r="I175">
        <f t="shared" si="4"/>
        <v>755132.68384509743</v>
      </c>
      <c r="J175">
        <f t="shared" si="5"/>
        <v>-33768.573845097446</v>
      </c>
    </row>
    <row r="176" spans="1:10" x14ac:dyDescent="0.3">
      <c r="A176" s="5" t="s">
        <v>69</v>
      </c>
      <c r="B176">
        <v>758138.29</v>
      </c>
      <c r="C176">
        <v>68040.149999999994</v>
      </c>
      <c r="D176">
        <v>9826</v>
      </c>
      <c r="E176">
        <v>83.9</v>
      </c>
      <c r="F176">
        <v>1</v>
      </c>
      <c r="G176">
        <v>0</v>
      </c>
      <c r="H176">
        <v>0</v>
      </c>
      <c r="I176">
        <f t="shared" si="4"/>
        <v>781408.38575469947</v>
      </c>
      <c r="J176">
        <f t="shared" si="5"/>
        <v>-23270.095754699432</v>
      </c>
    </row>
    <row r="177" spans="1:10" x14ac:dyDescent="0.3">
      <c r="A177" s="5" t="s">
        <v>69</v>
      </c>
      <c r="B177">
        <v>804264</v>
      </c>
      <c r="C177">
        <v>63043.94</v>
      </c>
      <c r="D177">
        <v>10402</v>
      </c>
      <c r="E177">
        <v>93.9</v>
      </c>
      <c r="F177">
        <v>1</v>
      </c>
      <c r="G177">
        <v>0</v>
      </c>
      <c r="H177">
        <v>0</v>
      </c>
      <c r="I177">
        <f t="shared" si="4"/>
        <v>823174.73987853224</v>
      </c>
      <c r="J177">
        <f t="shared" si="5"/>
        <v>-18910.739878532244</v>
      </c>
    </row>
    <row r="178" spans="1:10" x14ac:dyDescent="0.3">
      <c r="A178" s="5" t="s">
        <v>70</v>
      </c>
      <c r="B178">
        <v>887537.75</v>
      </c>
      <c r="C178">
        <v>67494.09</v>
      </c>
      <c r="D178">
        <v>12361</v>
      </c>
      <c r="E178">
        <v>76.599999999999994</v>
      </c>
      <c r="F178">
        <v>0</v>
      </c>
      <c r="G178">
        <v>0</v>
      </c>
      <c r="H178">
        <v>1</v>
      </c>
      <c r="I178">
        <f t="shared" si="4"/>
        <v>863540.78424747172</v>
      </c>
      <c r="J178">
        <f t="shared" si="5"/>
        <v>23996.965752528282</v>
      </c>
    </row>
    <row r="179" spans="1:10" x14ac:dyDescent="0.3">
      <c r="A179" s="5" t="s">
        <v>70</v>
      </c>
      <c r="B179">
        <v>783582</v>
      </c>
      <c r="C179">
        <v>29389.32</v>
      </c>
      <c r="D179">
        <v>7925</v>
      </c>
      <c r="E179">
        <v>90.9</v>
      </c>
      <c r="F179">
        <v>0</v>
      </c>
      <c r="G179">
        <v>0</v>
      </c>
      <c r="H179">
        <v>1</v>
      </c>
      <c r="I179">
        <f t="shared" si="4"/>
        <v>708402.96944369166</v>
      </c>
      <c r="J179">
        <f t="shared" si="5"/>
        <v>75179.030556308338</v>
      </c>
    </row>
    <row r="180" spans="1:10" x14ac:dyDescent="0.3">
      <c r="A180" s="5" t="s">
        <v>70</v>
      </c>
      <c r="B180">
        <v>781955.52</v>
      </c>
      <c r="C180">
        <v>40535.089999999997</v>
      </c>
      <c r="D180">
        <v>8870</v>
      </c>
      <c r="E180">
        <v>86.6</v>
      </c>
      <c r="F180">
        <v>0</v>
      </c>
      <c r="G180">
        <v>0</v>
      </c>
      <c r="H180">
        <v>1</v>
      </c>
      <c r="I180">
        <f t="shared" si="4"/>
        <v>741510.15406382177</v>
      </c>
      <c r="J180">
        <f t="shared" si="5"/>
        <v>40445.365936178248</v>
      </c>
    </row>
    <row r="181" spans="1:10" x14ac:dyDescent="0.3">
      <c r="A181" s="5" t="s">
        <v>70</v>
      </c>
      <c r="B181">
        <v>898031.04</v>
      </c>
      <c r="C181">
        <v>74881.56</v>
      </c>
      <c r="D181">
        <v>9999</v>
      </c>
      <c r="E181">
        <v>89.6</v>
      </c>
      <c r="F181">
        <v>0</v>
      </c>
      <c r="G181">
        <v>0</v>
      </c>
      <c r="H181">
        <v>1</v>
      </c>
      <c r="I181">
        <f t="shared" si="4"/>
        <v>828936.44355006283</v>
      </c>
      <c r="J181">
        <f t="shared" si="5"/>
        <v>69094.596449937206</v>
      </c>
    </row>
    <row r="182" spans="1:10" x14ac:dyDescent="0.3">
      <c r="A182" s="5" t="s">
        <v>71</v>
      </c>
      <c r="B182">
        <v>855341.28</v>
      </c>
      <c r="C182">
        <v>68491.11</v>
      </c>
      <c r="D182">
        <v>11154</v>
      </c>
      <c r="E182">
        <v>89.4</v>
      </c>
      <c r="F182">
        <v>0</v>
      </c>
      <c r="G182">
        <v>0</v>
      </c>
      <c r="H182">
        <v>1</v>
      </c>
      <c r="I182">
        <f t="shared" si="4"/>
        <v>859914.61324310442</v>
      </c>
      <c r="J182">
        <f t="shared" si="5"/>
        <v>-4573.3332431043964</v>
      </c>
    </row>
    <row r="183" spans="1:10" x14ac:dyDescent="0.3">
      <c r="A183" s="5" t="s">
        <v>71</v>
      </c>
      <c r="B183">
        <v>751393.88</v>
      </c>
      <c r="C183">
        <v>45209.25</v>
      </c>
      <c r="D183">
        <v>9287</v>
      </c>
      <c r="E183">
        <v>86.4</v>
      </c>
      <c r="F183">
        <v>0</v>
      </c>
      <c r="G183">
        <v>0</v>
      </c>
      <c r="H183">
        <v>1</v>
      </c>
      <c r="I183">
        <f t="shared" si="4"/>
        <v>760613.63056316262</v>
      </c>
      <c r="J183">
        <f t="shared" si="5"/>
        <v>-9219.7505631626118</v>
      </c>
    </row>
    <row r="184" spans="1:10" x14ac:dyDescent="0.3">
      <c r="A184" s="5" t="s">
        <v>71</v>
      </c>
      <c r="B184">
        <v>761077.08</v>
      </c>
      <c r="C184">
        <v>63010.23</v>
      </c>
      <c r="D184">
        <v>9812</v>
      </c>
      <c r="E184">
        <v>76.8</v>
      </c>
      <c r="F184">
        <v>0</v>
      </c>
      <c r="G184">
        <v>0</v>
      </c>
      <c r="H184">
        <v>1</v>
      </c>
      <c r="I184">
        <f t="shared" si="4"/>
        <v>772451.25010410999</v>
      </c>
      <c r="J184">
        <f t="shared" si="5"/>
        <v>-11374.170104110031</v>
      </c>
    </row>
    <row r="185" spans="1:10" x14ac:dyDescent="0.3">
      <c r="A185" s="5" t="s">
        <v>71</v>
      </c>
      <c r="B185">
        <v>819660.59</v>
      </c>
      <c r="C185">
        <v>57948.88</v>
      </c>
      <c r="D185">
        <v>10741</v>
      </c>
      <c r="E185">
        <v>90.1</v>
      </c>
      <c r="F185">
        <v>0</v>
      </c>
      <c r="G185">
        <v>0</v>
      </c>
      <c r="H185">
        <v>1</v>
      </c>
      <c r="I185">
        <f t="shared" si="4"/>
        <v>835396.6946875545</v>
      </c>
      <c r="J185">
        <f t="shared" si="5"/>
        <v>-15736.104687554529</v>
      </c>
    </row>
    <row r="186" spans="1:10" x14ac:dyDescent="0.3">
      <c r="A186" s="5" t="s">
        <v>72</v>
      </c>
      <c r="B186">
        <v>681855.56</v>
      </c>
      <c r="C186">
        <v>71941.62</v>
      </c>
      <c r="D186">
        <v>6084</v>
      </c>
      <c r="E186">
        <v>93.7</v>
      </c>
      <c r="F186">
        <v>0</v>
      </c>
      <c r="G186">
        <v>1</v>
      </c>
      <c r="H186">
        <v>0</v>
      </c>
      <c r="I186">
        <f t="shared" si="4"/>
        <v>697457.88566091075</v>
      </c>
      <c r="J186">
        <f t="shared" si="5"/>
        <v>-15602.32566091069</v>
      </c>
    </row>
    <row r="187" spans="1:10" x14ac:dyDescent="0.3">
      <c r="A187" s="5" t="s">
        <v>72</v>
      </c>
      <c r="B187">
        <v>678311.17</v>
      </c>
      <c r="C187">
        <v>57147.88</v>
      </c>
      <c r="D187">
        <v>5252</v>
      </c>
      <c r="E187">
        <v>95.5</v>
      </c>
      <c r="F187">
        <v>0</v>
      </c>
      <c r="G187">
        <v>1</v>
      </c>
      <c r="H187">
        <v>0</v>
      </c>
      <c r="I187">
        <f t="shared" si="4"/>
        <v>656806.36247260438</v>
      </c>
      <c r="J187">
        <f t="shared" si="5"/>
        <v>21504.807527395664</v>
      </c>
    </row>
    <row r="188" spans="1:10" x14ac:dyDescent="0.3">
      <c r="A188" s="5" t="s">
        <v>72</v>
      </c>
      <c r="B188">
        <v>765906.95</v>
      </c>
      <c r="C188">
        <v>48031.74</v>
      </c>
      <c r="D188">
        <v>6516</v>
      </c>
      <c r="E188">
        <v>99</v>
      </c>
      <c r="F188">
        <v>0</v>
      </c>
      <c r="G188">
        <v>1</v>
      </c>
      <c r="H188">
        <v>0</v>
      </c>
      <c r="I188">
        <f t="shared" si="4"/>
        <v>698671.33882796625</v>
      </c>
      <c r="J188">
        <f t="shared" si="5"/>
        <v>67235.611172033707</v>
      </c>
    </row>
    <row r="189" spans="1:10" x14ac:dyDescent="0.3">
      <c r="A189" s="5" t="s">
        <v>72</v>
      </c>
      <c r="B189">
        <v>712546.38</v>
      </c>
      <c r="C189">
        <v>72784.800000000003</v>
      </c>
      <c r="D189">
        <v>7932</v>
      </c>
      <c r="E189">
        <v>74.900000000000006</v>
      </c>
      <c r="F189">
        <v>0</v>
      </c>
      <c r="G189">
        <v>1</v>
      </c>
      <c r="H189">
        <v>0</v>
      </c>
      <c r="I189">
        <f t="shared" si="4"/>
        <v>708068.07489328412</v>
      </c>
      <c r="J189">
        <f t="shared" si="5"/>
        <v>4478.3051067158813</v>
      </c>
    </row>
    <row r="190" spans="1:10" x14ac:dyDescent="0.3">
      <c r="A190" s="5" t="s">
        <v>73</v>
      </c>
      <c r="B190">
        <v>625993.82999999996</v>
      </c>
      <c r="C190">
        <v>71641.899999999994</v>
      </c>
      <c r="D190">
        <v>3506</v>
      </c>
      <c r="E190">
        <v>86.4</v>
      </c>
      <c r="F190">
        <v>1</v>
      </c>
      <c r="G190">
        <v>0</v>
      </c>
      <c r="H190">
        <v>0</v>
      </c>
      <c r="I190">
        <f t="shared" si="4"/>
        <v>578664.20959032699</v>
      </c>
      <c r="J190">
        <f t="shared" si="5"/>
        <v>47329.620409672963</v>
      </c>
    </row>
    <row r="191" spans="1:10" x14ac:dyDescent="0.3">
      <c r="A191" s="5" t="s">
        <v>73</v>
      </c>
      <c r="B191">
        <v>550962.93000000005</v>
      </c>
      <c r="C191">
        <v>55788.61</v>
      </c>
      <c r="D191">
        <v>2312</v>
      </c>
      <c r="E191">
        <v>91.3</v>
      </c>
      <c r="F191">
        <v>1</v>
      </c>
      <c r="G191">
        <v>0</v>
      </c>
      <c r="H191">
        <v>0</v>
      </c>
      <c r="I191">
        <f t="shared" si="4"/>
        <v>533231.49977811927</v>
      </c>
      <c r="J191">
        <f t="shared" si="5"/>
        <v>17731.430221880786</v>
      </c>
    </row>
    <row r="192" spans="1:10" x14ac:dyDescent="0.3">
      <c r="A192" s="5" t="s">
        <v>73</v>
      </c>
      <c r="B192">
        <v>443275.59</v>
      </c>
      <c r="C192">
        <v>37705.879999999997</v>
      </c>
      <c r="D192">
        <v>1268</v>
      </c>
      <c r="E192">
        <v>84.1</v>
      </c>
      <c r="F192">
        <v>1</v>
      </c>
      <c r="G192">
        <v>0</v>
      </c>
      <c r="H192">
        <v>0</v>
      </c>
      <c r="I192">
        <f t="shared" si="4"/>
        <v>456135.12665902445</v>
      </c>
      <c r="J192">
        <f t="shared" si="5"/>
        <v>-12859.536659024423</v>
      </c>
    </row>
    <row r="193" spans="1:10" x14ac:dyDescent="0.3">
      <c r="A193" s="5" t="s">
        <v>73</v>
      </c>
      <c r="B193">
        <v>554012.06999999995</v>
      </c>
      <c r="C193">
        <v>54966.18</v>
      </c>
      <c r="D193">
        <v>4423</v>
      </c>
      <c r="E193">
        <v>88.7</v>
      </c>
      <c r="F193">
        <v>1</v>
      </c>
      <c r="G193">
        <v>0</v>
      </c>
      <c r="H193">
        <v>0</v>
      </c>
      <c r="I193">
        <f t="shared" si="4"/>
        <v>596429.28906136344</v>
      </c>
      <c r="J193">
        <f t="shared" si="5"/>
        <v>-42417.219061363488</v>
      </c>
    </row>
    <row r="194" spans="1:10" x14ac:dyDescent="0.3">
      <c r="A194" s="5" t="s">
        <v>74</v>
      </c>
      <c r="B194">
        <v>643428.85</v>
      </c>
      <c r="C194">
        <v>81796.740000000005</v>
      </c>
      <c r="D194">
        <v>6177</v>
      </c>
      <c r="E194">
        <v>87.9</v>
      </c>
      <c r="F194">
        <v>0</v>
      </c>
      <c r="G194">
        <v>0</v>
      </c>
      <c r="H194">
        <v>1</v>
      </c>
      <c r="I194">
        <f t="shared" ref="I194:I257" si="6">153400.7954+1.18591413*C194+33.87042078*D194+2818.206779*E194-21940.48828*F194-11393.10865*G194-4449.116708*H194</f>
        <v>702893.55347809638</v>
      </c>
      <c r="J194">
        <f t="shared" ref="J194:J257" si="7">B194-I194</f>
        <v>-59464.703478096402</v>
      </c>
    </row>
    <row r="195" spans="1:10" x14ac:dyDescent="0.3">
      <c r="A195" s="5" t="s">
        <v>74</v>
      </c>
      <c r="B195">
        <v>611924.27</v>
      </c>
      <c r="C195">
        <v>51133.43</v>
      </c>
      <c r="D195">
        <v>5150</v>
      </c>
      <c r="E195">
        <v>88.5</v>
      </c>
      <c r="F195">
        <v>0</v>
      </c>
      <c r="G195">
        <v>0</v>
      </c>
      <c r="H195">
        <v>1</v>
      </c>
      <c r="I195">
        <f t="shared" si="6"/>
        <v>633435.50280286605</v>
      </c>
      <c r="J195">
        <f t="shared" si="7"/>
        <v>-21511.232802866027</v>
      </c>
    </row>
    <row r="196" spans="1:10" x14ac:dyDescent="0.3">
      <c r="A196" s="5" t="s">
        <v>74</v>
      </c>
      <c r="B196">
        <v>559422.02</v>
      </c>
      <c r="C196">
        <v>40220.18</v>
      </c>
      <c r="D196">
        <v>3783</v>
      </c>
      <c r="E196">
        <v>86.6</v>
      </c>
      <c r="F196">
        <v>0</v>
      </c>
      <c r="G196">
        <v>0</v>
      </c>
      <c r="H196">
        <v>1</v>
      </c>
      <c r="I196">
        <f t="shared" si="6"/>
        <v>568837.86733728345</v>
      </c>
      <c r="J196">
        <f t="shared" si="7"/>
        <v>-9415.8473372834269</v>
      </c>
    </row>
    <row r="197" spans="1:10" x14ac:dyDescent="0.3">
      <c r="A197" s="5" t="s">
        <v>74</v>
      </c>
      <c r="B197">
        <v>449465.06</v>
      </c>
      <c r="C197">
        <v>41657.64</v>
      </c>
      <c r="D197">
        <v>3135</v>
      </c>
      <c r="E197">
        <v>85.4</v>
      </c>
      <c r="F197">
        <v>0</v>
      </c>
      <c r="G197">
        <v>0</v>
      </c>
      <c r="H197">
        <v>1</v>
      </c>
      <c r="I197">
        <f t="shared" si="6"/>
        <v>545212.6906623533</v>
      </c>
      <c r="J197">
        <f t="shared" si="7"/>
        <v>-95747.630662353302</v>
      </c>
    </row>
    <row r="198" spans="1:10" x14ac:dyDescent="0.3">
      <c r="A198" s="5" t="s">
        <v>75</v>
      </c>
      <c r="B198">
        <v>691447.43</v>
      </c>
      <c r="C198">
        <v>71851.45</v>
      </c>
      <c r="D198">
        <v>4970</v>
      </c>
      <c r="E198">
        <v>89.6</v>
      </c>
      <c r="F198">
        <v>0</v>
      </c>
      <c r="G198">
        <v>1</v>
      </c>
      <c r="H198">
        <v>0</v>
      </c>
      <c r="I198">
        <f t="shared" si="6"/>
        <v>648064.65524098848</v>
      </c>
      <c r="J198">
        <f t="shared" si="7"/>
        <v>43382.774759011576</v>
      </c>
    </row>
    <row r="199" spans="1:10" x14ac:dyDescent="0.3">
      <c r="A199" s="5" t="s">
        <v>75</v>
      </c>
      <c r="B199">
        <v>574066.61</v>
      </c>
      <c r="C199">
        <v>54002.83</v>
      </c>
      <c r="D199">
        <v>4366</v>
      </c>
      <c r="E199">
        <v>90.6</v>
      </c>
      <c r="F199">
        <v>0</v>
      </c>
      <c r="G199">
        <v>1</v>
      </c>
      <c r="H199">
        <v>0</v>
      </c>
      <c r="I199">
        <f t="shared" si="6"/>
        <v>609258.197209868</v>
      </c>
      <c r="J199">
        <f t="shared" si="7"/>
        <v>-35191.587209868012</v>
      </c>
    </row>
    <row r="200" spans="1:10" x14ac:dyDescent="0.3">
      <c r="A200" s="5" t="s">
        <v>75</v>
      </c>
      <c r="B200">
        <v>578949.84</v>
      </c>
      <c r="C200">
        <v>54479.33</v>
      </c>
      <c r="D200">
        <v>5012</v>
      </c>
      <c r="E200">
        <v>86</v>
      </c>
      <c r="F200">
        <v>0</v>
      </c>
      <c r="G200">
        <v>1</v>
      </c>
      <c r="H200">
        <v>0</v>
      </c>
      <c r="I200">
        <f t="shared" si="6"/>
        <v>618739.82593329297</v>
      </c>
      <c r="J200">
        <f t="shared" si="7"/>
        <v>-39789.985933293006</v>
      </c>
    </row>
    <row r="201" spans="1:10" x14ac:dyDescent="0.3">
      <c r="A201" s="5" t="s">
        <v>75</v>
      </c>
      <c r="B201">
        <v>735786.64</v>
      </c>
      <c r="C201">
        <v>61391.8</v>
      </c>
      <c r="D201">
        <v>5575</v>
      </c>
      <c r="E201">
        <v>90</v>
      </c>
      <c r="F201">
        <v>0</v>
      </c>
      <c r="G201">
        <v>1</v>
      </c>
      <c r="H201">
        <v>0</v>
      </c>
      <c r="I201">
        <f t="shared" si="6"/>
        <v>657279.29579463403</v>
      </c>
      <c r="J201">
        <f t="shared" si="7"/>
        <v>78507.344205365982</v>
      </c>
    </row>
    <row r="202" spans="1:10" x14ac:dyDescent="0.3">
      <c r="A202" s="5" t="s">
        <v>76</v>
      </c>
      <c r="B202">
        <v>598904.9</v>
      </c>
      <c r="C202">
        <v>22312.93</v>
      </c>
      <c r="D202">
        <v>5955</v>
      </c>
      <c r="E202">
        <v>84.2</v>
      </c>
      <c r="F202">
        <v>1</v>
      </c>
      <c r="G202">
        <v>0</v>
      </c>
      <c r="H202">
        <v>0</v>
      </c>
      <c r="I202">
        <f t="shared" si="6"/>
        <v>596912.89262540091</v>
      </c>
      <c r="J202">
        <f t="shared" si="7"/>
        <v>1992.0073745991103</v>
      </c>
    </row>
    <row r="203" spans="1:10" x14ac:dyDescent="0.3">
      <c r="A203" s="5" t="s">
        <v>76</v>
      </c>
      <c r="B203">
        <v>787715.51</v>
      </c>
      <c r="C203">
        <v>78111.97</v>
      </c>
      <c r="D203">
        <v>6389</v>
      </c>
      <c r="E203">
        <v>83.9</v>
      </c>
      <c r="F203">
        <v>1</v>
      </c>
      <c r="G203">
        <v>0</v>
      </c>
      <c r="H203">
        <v>0</v>
      </c>
      <c r="I203">
        <f t="shared" si="6"/>
        <v>676940.0631866561</v>
      </c>
      <c r="J203">
        <f t="shared" si="7"/>
        <v>110775.44681334391</v>
      </c>
    </row>
    <row r="204" spans="1:10" x14ac:dyDescent="0.3">
      <c r="A204" s="5" t="s">
        <v>76</v>
      </c>
      <c r="B204">
        <v>607084.92000000004</v>
      </c>
      <c r="C204">
        <v>35203.230000000003</v>
      </c>
      <c r="D204">
        <v>6896</v>
      </c>
      <c r="E204">
        <v>80.8</v>
      </c>
      <c r="F204">
        <v>1</v>
      </c>
      <c r="G204">
        <v>0</v>
      </c>
      <c r="H204">
        <v>0</v>
      </c>
      <c r="I204">
        <f t="shared" si="6"/>
        <v>634489.84444071993</v>
      </c>
      <c r="J204">
        <f t="shared" si="7"/>
        <v>-27404.924440719886</v>
      </c>
    </row>
    <row r="205" spans="1:10" x14ac:dyDescent="0.3">
      <c r="A205" s="5" t="s">
        <v>76</v>
      </c>
      <c r="B205">
        <v>650795.49</v>
      </c>
      <c r="C205">
        <v>64104.28</v>
      </c>
      <c r="D205">
        <v>6015</v>
      </c>
      <c r="E205">
        <v>88.7</v>
      </c>
      <c r="F205">
        <v>1</v>
      </c>
      <c r="G205">
        <v>0</v>
      </c>
      <c r="H205">
        <v>0</v>
      </c>
      <c r="I205">
        <f t="shared" si="6"/>
        <v>661188.00085447647</v>
      </c>
      <c r="J205">
        <f t="shared" si="7"/>
        <v>-10392.510854476481</v>
      </c>
    </row>
    <row r="206" spans="1:10" x14ac:dyDescent="0.3">
      <c r="A206" s="5" t="s">
        <v>77</v>
      </c>
      <c r="B206">
        <v>825060.52</v>
      </c>
      <c r="C206">
        <v>92090.14</v>
      </c>
      <c r="D206">
        <v>9476</v>
      </c>
      <c r="E206">
        <v>94.3</v>
      </c>
      <c r="F206">
        <v>1</v>
      </c>
      <c r="G206">
        <v>0</v>
      </c>
      <c r="H206">
        <v>0</v>
      </c>
      <c r="I206">
        <f t="shared" si="6"/>
        <v>827384.3119506581</v>
      </c>
      <c r="J206">
        <f t="shared" si="7"/>
        <v>-2323.7919506580802</v>
      </c>
    </row>
    <row r="207" spans="1:10" x14ac:dyDescent="0.3">
      <c r="A207" s="5" t="s">
        <v>77</v>
      </c>
      <c r="B207">
        <v>795464.47</v>
      </c>
      <c r="C207">
        <v>54300.87</v>
      </c>
      <c r="D207">
        <v>7875</v>
      </c>
      <c r="E207">
        <v>94.1</v>
      </c>
      <c r="F207">
        <v>1</v>
      </c>
      <c r="G207">
        <v>0</v>
      </c>
      <c r="H207">
        <v>0</v>
      </c>
      <c r="I207">
        <f t="shared" si="6"/>
        <v>727779.29767069302</v>
      </c>
      <c r="J207">
        <f t="shared" si="7"/>
        <v>67685.172329306952</v>
      </c>
    </row>
    <row r="208" spans="1:10" x14ac:dyDescent="0.3">
      <c r="A208" s="5" t="s">
        <v>77</v>
      </c>
      <c r="B208">
        <v>671868.59</v>
      </c>
      <c r="C208">
        <v>37983.35</v>
      </c>
      <c r="D208">
        <v>9283</v>
      </c>
      <c r="E208">
        <v>83.2</v>
      </c>
      <c r="F208">
        <v>1</v>
      </c>
      <c r="G208">
        <v>0</v>
      </c>
      <c r="H208">
        <v>0</v>
      </c>
      <c r="I208">
        <f t="shared" si="6"/>
        <v>725399.21870327555</v>
      </c>
      <c r="J208">
        <f t="shared" si="7"/>
        <v>-53530.628703275579</v>
      </c>
    </row>
    <row r="209" spans="1:10" x14ac:dyDescent="0.3">
      <c r="A209" s="5" t="s">
        <v>77</v>
      </c>
      <c r="B209">
        <v>675917.63</v>
      </c>
      <c r="C209">
        <v>56413.83</v>
      </c>
      <c r="D209">
        <v>8303</v>
      </c>
      <c r="E209">
        <v>93.6</v>
      </c>
      <c r="F209">
        <v>1</v>
      </c>
      <c r="G209">
        <v>0</v>
      </c>
      <c r="H209">
        <v>0</v>
      </c>
      <c r="I209">
        <f t="shared" si="6"/>
        <v>743372.52349515783</v>
      </c>
      <c r="J209">
        <f t="shared" si="7"/>
        <v>-67454.893495157827</v>
      </c>
    </row>
    <row r="210" spans="1:10" x14ac:dyDescent="0.3">
      <c r="A210" s="5" t="s">
        <v>78</v>
      </c>
      <c r="B210">
        <v>810446.53</v>
      </c>
      <c r="C210">
        <v>63457.19</v>
      </c>
      <c r="D210">
        <v>10125</v>
      </c>
      <c r="E210">
        <v>87</v>
      </c>
      <c r="F210">
        <v>1</v>
      </c>
      <c r="G210">
        <v>0</v>
      </c>
      <c r="H210">
        <v>0</v>
      </c>
      <c r="I210">
        <f t="shared" si="6"/>
        <v>794837.08556159469</v>
      </c>
      <c r="J210">
        <f t="shared" si="7"/>
        <v>15609.444438405335</v>
      </c>
    </row>
    <row r="211" spans="1:10" x14ac:dyDescent="0.3">
      <c r="A211" s="5" t="s">
        <v>78</v>
      </c>
      <c r="B211">
        <v>691288.19</v>
      </c>
      <c r="C211">
        <v>62949.7</v>
      </c>
      <c r="D211">
        <v>9458</v>
      </c>
      <c r="E211">
        <v>84.9</v>
      </c>
      <c r="F211">
        <v>1</v>
      </c>
      <c r="G211">
        <v>0</v>
      </c>
      <c r="H211">
        <v>0</v>
      </c>
      <c r="I211">
        <f t="shared" si="6"/>
        <v>765725.44110360101</v>
      </c>
      <c r="J211">
        <f t="shared" si="7"/>
        <v>-74437.251103601069</v>
      </c>
    </row>
    <row r="212" spans="1:10" x14ac:dyDescent="0.3">
      <c r="A212" s="5" t="s">
        <v>78</v>
      </c>
      <c r="B212">
        <v>946833.54</v>
      </c>
      <c r="C212">
        <v>107970.19</v>
      </c>
      <c r="D212">
        <v>12870</v>
      </c>
      <c r="E212">
        <v>91.7</v>
      </c>
      <c r="F212">
        <v>1</v>
      </c>
      <c r="G212">
        <v>0</v>
      </c>
      <c r="H212">
        <v>0</v>
      </c>
      <c r="I212">
        <f t="shared" si="6"/>
        <v>953845.55813268467</v>
      </c>
      <c r="J212">
        <f t="shared" si="7"/>
        <v>-7012.0181326846359</v>
      </c>
    </row>
    <row r="213" spans="1:10" x14ac:dyDescent="0.3">
      <c r="A213" s="5" t="s">
        <v>78</v>
      </c>
      <c r="B213">
        <v>761963.23</v>
      </c>
      <c r="C213">
        <v>49405.75</v>
      </c>
      <c r="D213">
        <v>9752</v>
      </c>
      <c r="E213">
        <v>87</v>
      </c>
      <c r="F213">
        <v>1</v>
      </c>
      <c r="G213">
        <v>0</v>
      </c>
      <c r="H213">
        <v>0</v>
      </c>
      <c r="I213">
        <f t="shared" si="6"/>
        <v>765539.61736780754</v>
      </c>
      <c r="J213">
        <f t="shared" si="7"/>
        <v>-3576.3873678075615</v>
      </c>
    </row>
    <row r="214" spans="1:10" x14ac:dyDescent="0.3">
      <c r="A214" s="5" t="s">
        <v>79</v>
      </c>
      <c r="B214">
        <v>812152.6</v>
      </c>
      <c r="C214">
        <v>50887.46</v>
      </c>
      <c r="D214">
        <v>9505</v>
      </c>
      <c r="E214">
        <v>89.7</v>
      </c>
      <c r="F214">
        <v>0</v>
      </c>
      <c r="G214">
        <v>0</v>
      </c>
      <c r="H214">
        <v>1</v>
      </c>
      <c r="I214">
        <f t="shared" si="6"/>
        <v>784031.33413600991</v>
      </c>
      <c r="J214">
        <f t="shared" si="7"/>
        <v>28121.265863990062</v>
      </c>
    </row>
    <row r="215" spans="1:10" x14ac:dyDescent="0.3">
      <c r="A215" s="5" t="s">
        <v>79</v>
      </c>
      <c r="B215">
        <v>804975.5</v>
      </c>
      <c r="C215">
        <v>41819.449999999997</v>
      </c>
      <c r="D215">
        <v>9412</v>
      </c>
      <c r="E215">
        <v>91</v>
      </c>
      <c r="F215">
        <v>0</v>
      </c>
      <c r="G215">
        <v>0</v>
      </c>
      <c r="H215">
        <v>1</v>
      </c>
      <c r="I215">
        <f t="shared" si="6"/>
        <v>773791.17262618861</v>
      </c>
      <c r="J215">
        <f t="shared" si="7"/>
        <v>31184.327373811393</v>
      </c>
    </row>
    <row r="216" spans="1:10" x14ac:dyDescent="0.3">
      <c r="A216" s="5" t="s">
        <v>79</v>
      </c>
      <c r="B216">
        <v>752321.72</v>
      </c>
      <c r="C216">
        <v>35296.54</v>
      </c>
      <c r="D216">
        <v>9644</v>
      </c>
      <c r="E216">
        <v>88</v>
      </c>
      <c r="F216">
        <v>0</v>
      </c>
      <c r="G216">
        <v>0</v>
      </c>
      <c r="H216">
        <v>1</v>
      </c>
      <c r="I216">
        <f t="shared" si="6"/>
        <v>765458.87877243035</v>
      </c>
      <c r="J216">
        <f t="shared" si="7"/>
        <v>-13137.158772430383</v>
      </c>
    </row>
    <row r="217" spans="1:10" x14ac:dyDescent="0.3">
      <c r="A217" s="5" t="s">
        <v>79</v>
      </c>
      <c r="B217">
        <v>836908.24</v>
      </c>
      <c r="C217">
        <v>47391.09</v>
      </c>
      <c r="D217">
        <v>11224</v>
      </c>
      <c r="E217">
        <v>88.4</v>
      </c>
      <c r="F217">
        <v>0</v>
      </c>
      <c r="G217">
        <v>0</v>
      </c>
      <c r="H217">
        <v>1</v>
      </c>
      <c r="I217">
        <f t="shared" si="6"/>
        <v>834444.52405742183</v>
      </c>
      <c r="J217">
        <f t="shared" si="7"/>
        <v>2463.7159425781574</v>
      </c>
    </row>
    <row r="218" spans="1:10" x14ac:dyDescent="0.3">
      <c r="A218" s="5" t="s">
        <v>80</v>
      </c>
      <c r="B218">
        <v>674289.1</v>
      </c>
      <c r="C218">
        <v>69180.539999999994</v>
      </c>
      <c r="D218">
        <v>5394</v>
      </c>
      <c r="E218">
        <v>82.9</v>
      </c>
      <c r="F218">
        <v>0</v>
      </c>
      <c r="G218">
        <v>1</v>
      </c>
      <c r="H218">
        <v>0</v>
      </c>
      <c r="I218">
        <f t="shared" si="6"/>
        <v>640376.25832345022</v>
      </c>
      <c r="J218">
        <f t="shared" si="7"/>
        <v>33912.841676549753</v>
      </c>
    </row>
    <row r="219" spans="1:10" x14ac:dyDescent="0.3">
      <c r="A219" s="5" t="s">
        <v>80</v>
      </c>
      <c r="B219">
        <v>622892.42000000004</v>
      </c>
      <c r="C219">
        <v>33987.33</v>
      </c>
      <c r="D219">
        <v>5014</v>
      </c>
      <c r="E219">
        <v>94.3</v>
      </c>
      <c r="F219">
        <v>0</v>
      </c>
      <c r="G219">
        <v>1</v>
      </c>
      <c r="H219">
        <v>0</v>
      </c>
      <c r="I219">
        <f t="shared" si="6"/>
        <v>617896.93068859295</v>
      </c>
      <c r="J219">
        <f t="shared" si="7"/>
        <v>4995.4893114070874</v>
      </c>
    </row>
    <row r="220" spans="1:10" x14ac:dyDescent="0.3">
      <c r="A220" s="5" t="s">
        <v>80</v>
      </c>
      <c r="B220">
        <v>673348.56</v>
      </c>
      <c r="C220">
        <v>58785.33</v>
      </c>
      <c r="D220">
        <v>4467</v>
      </c>
      <c r="E220">
        <v>90.7</v>
      </c>
      <c r="F220">
        <v>0</v>
      </c>
      <c r="G220">
        <v>1</v>
      </c>
      <c r="H220">
        <v>0</v>
      </c>
      <c r="I220">
        <f t="shared" si="6"/>
        <v>618632.56471327296</v>
      </c>
      <c r="J220">
        <f t="shared" si="7"/>
        <v>54715.995286727091</v>
      </c>
    </row>
    <row r="221" spans="1:10" x14ac:dyDescent="0.3">
      <c r="A221" s="5" t="s">
        <v>80</v>
      </c>
      <c r="B221">
        <v>606278.30000000005</v>
      </c>
      <c r="C221">
        <v>16451.849999999999</v>
      </c>
      <c r="D221">
        <v>4678</v>
      </c>
      <c r="E221">
        <v>95.9</v>
      </c>
      <c r="F221">
        <v>0</v>
      </c>
      <c r="G221">
        <v>1</v>
      </c>
      <c r="H221">
        <v>0</v>
      </c>
      <c r="I221">
        <f t="shared" si="6"/>
        <v>590230.02664458065</v>
      </c>
      <c r="J221">
        <f t="shared" si="7"/>
        <v>16048.273355419398</v>
      </c>
    </row>
    <row r="222" spans="1:10" x14ac:dyDescent="0.3">
      <c r="A222" s="5" t="s">
        <v>81</v>
      </c>
      <c r="B222">
        <v>712219.81</v>
      </c>
      <c r="C222">
        <v>53367.73</v>
      </c>
      <c r="D222">
        <v>7291</v>
      </c>
      <c r="E222">
        <v>90.6</v>
      </c>
      <c r="F222">
        <v>1</v>
      </c>
      <c r="G222">
        <v>0</v>
      </c>
      <c r="H222">
        <v>0</v>
      </c>
      <c r="I222">
        <f t="shared" si="6"/>
        <v>697028.62429740489</v>
      </c>
      <c r="J222">
        <f t="shared" si="7"/>
        <v>15191.185702595161</v>
      </c>
    </row>
    <row r="223" spans="1:10" x14ac:dyDescent="0.3">
      <c r="A223" s="5" t="s">
        <v>81</v>
      </c>
      <c r="B223">
        <v>672670.54</v>
      </c>
      <c r="C223">
        <v>27194.639999999999</v>
      </c>
      <c r="D223">
        <v>7404</v>
      </c>
      <c r="E223">
        <v>90.2</v>
      </c>
      <c r="F223">
        <v>1</v>
      </c>
      <c r="G223">
        <v>0</v>
      </c>
      <c r="H223">
        <v>0</v>
      </c>
      <c r="I223">
        <f t="shared" si="6"/>
        <v>668689.66187718313</v>
      </c>
      <c r="J223">
        <f t="shared" si="7"/>
        <v>3980.87812281691</v>
      </c>
    </row>
    <row r="224" spans="1:10" x14ac:dyDescent="0.3">
      <c r="A224" s="5" t="s">
        <v>81</v>
      </c>
      <c r="B224">
        <v>732667.92</v>
      </c>
      <c r="C224">
        <v>66962.740000000005</v>
      </c>
      <c r="D224">
        <v>7880</v>
      </c>
      <c r="E224">
        <v>90.4</v>
      </c>
      <c r="F224">
        <v>1</v>
      </c>
      <c r="G224">
        <v>0</v>
      </c>
      <c r="H224">
        <v>0</v>
      </c>
      <c r="I224">
        <f t="shared" si="6"/>
        <v>732537.17523751629</v>
      </c>
      <c r="J224">
        <f t="shared" si="7"/>
        <v>130.7447624837514</v>
      </c>
    </row>
    <row r="225" spans="1:10" x14ac:dyDescent="0.3">
      <c r="A225" s="5" t="s">
        <v>81</v>
      </c>
      <c r="B225">
        <v>723531.4</v>
      </c>
      <c r="C225">
        <v>73540.990000000005</v>
      </c>
      <c r="D225">
        <v>8773</v>
      </c>
      <c r="E225">
        <v>84.4</v>
      </c>
      <c r="F225">
        <v>1</v>
      </c>
      <c r="G225">
        <v>0</v>
      </c>
      <c r="H225">
        <v>0</v>
      </c>
      <c r="I225">
        <f t="shared" si="6"/>
        <v>753675.45994572865</v>
      </c>
      <c r="J225">
        <f t="shared" si="7"/>
        <v>-30144.05994572863</v>
      </c>
    </row>
    <row r="226" spans="1:10" x14ac:dyDescent="0.3">
      <c r="A226" s="5" t="s">
        <v>82</v>
      </c>
      <c r="B226">
        <v>641564.6</v>
      </c>
      <c r="C226">
        <v>68212.289999999994</v>
      </c>
      <c r="D226">
        <v>4713</v>
      </c>
      <c r="E226">
        <v>82.6</v>
      </c>
      <c r="F226">
        <v>1</v>
      </c>
      <c r="G226">
        <v>0</v>
      </c>
      <c r="H226">
        <v>0</v>
      </c>
      <c r="I226">
        <f t="shared" si="6"/>
        <v>604769.39875219774</v>
      </c>
      <c r="J226">
        <f t="shared" si="7"/>
        <v>36795.201247802237</v>
      </c>
    </row>
    <row r="227" spans="1:10" x14ac:dyDescent="0.3">
      <c r="A227" s="5" t="s">
        <v>82</v>
      </c>
      <c r="B227">
        <v>536545.49</v>
      </c>
      <c r="C227">
        <v>57225.98</v>
      </c>
      <c r="D227">
        <v>2842</v>
      </c>
      <c r="E227">
        <v>79.5</v>
      </c>
      <c r="F227">
        <v>1</v>
      </c>
      <c r="G227">
        <v>0</v>
      </c>
      <c r="H227">
        <v>0</v>
      </c>
      <c r="I227">
        <f t="shared" si="6"/>
        <v>519632.58019235748</v>
      </c>
      <c r="J227">
        <f t="shared" si="7"/>
        <v>16912.909807642514</v>
      </c>
    </row>
    <row r="228" spans="1:10" x14ac:dyDescent="0.3">
      <c r="A228" s="5" t="s">
        <v>82</v>
      </c>
      <c r="B228">
        <v>527681.56000000006</v>
      </c>
      <c r="C228">
        <v>42932.02</v>
      </c>
      <c r="D228">
        <v>3872</v>
      </c>
      <c r="E228">
        <v>83.2</v>
      </c>
      <c r="F228">
        <v>1</v>
      </c>
      <c r="G228">
        <v>0</v>
      </c>
      <c r="H228">
        <v>0</v>
      </c>
      <c r="I228">
        <f t="shared" si="6"/>
        <v>547995.0695404025</v>
      </c>
      <c r="J228">
        <f t="shared" si="7"/>
        <v>-20313.509540402447</v>
      </c>
    </row>
    <row r="229" spans="1:10" x14ac:dyDescent="0.3">
      <c r="A229" s="5" t="s">
        <v>82</v>
      </c>
      <c r="B229">
        <v>529598.93999999994</v>
      </c>
      <c r="C229">
        <v>39341.449999999997</v>
      </c>
      <c r="D229">
        <v>1375</v>
      </c>
      <c r="E229">
        <v>95</v>
      </c>
      <c r="F229">
        <v>1</v>
      </c>
      <c r="G229">
        <v>0</v>
      </c>
      <c r="H229">
        <v>0</v>
      </c>
      <c r="I229">
        <f t="shared" si="6"/>
        <v>492417.36114718852</v>
      </c>
      <c r="J229">
        <f t="shared" si="7"/>
        <v>37181.578852811421</v>
      </c>
    </row>
    <row r="230" spans="1:10" x14ac:dyDescent="0.3">
      <c r="A230" s="5" t="s">
        <v>83</v>
      </c>
      <c r="B230">
        <v>570963.31000000006</v>
      </c>
      <c r="C230">
        <v>37324.230000000003</v>
      </c>
      <c r="D230">
        <v>5957</v>
      </c>
      <c r="E230">
        <v>85.9</v>
      </c>
      <c r="F230">
        <v>1</v>
      </c>
      <c r="G230">
        <v>0</v>
      </c>
      <c r="H230">
        <v>0</v>
      </c>
      <c r="I230">
        <f t="shared" si="6"/>
        <v>619573.6977709299</v>
      </c>
      <c r="J230">
        <f t="shared" si="7"/>
        <v>-48610.387770929839</v>
      </c>
    </row>
    <row r="231" spans="1:10" x14ac:dyDescent="0.3">
      <c r="A231" s="5" t="s">
        <v>83</v>
      </c>
      <c r="B231">
        <v>870937.4</v>
      </c>
      <c r="C231">
        <v>113736</v>
      </c>
      <c r="D231">
        <v>8961</v>
      </c>
      <c r="E231">
        <v>86.2</v>
      </c>
      <c r="F231">
        <v>1</v>
      </c>
      <c r="G231">
        <v>0</v>
      </c>
      <c r="H231">
        <v>0</v>
      </c>
      <c r="I231">
        <f t="shared" si="6"/>
        <v>812783.70156905998</v>
      </c>
      <c r="J231">
        <f t="shared" si="7"/>
        <v>58153.698430940043</v>
      </c>
    </row>
    <row r="232" spans="1:10" x14ac:dyDescent="0.3">
      <c r="A232" s="5" t="s">
        <v>83</v>
      </c>
      <c r="B232">
        <v>596969.27</v>
      </c>
      <c r="C232">
        <v>33173.949999999997</v>
      </c>
      <c r="D232">
        <v>6545</v>
      </c>
      <c r="E232">
        <v>84.4</v>
      </c>
      <c r="F232">
        <v>1</v>
      </c>
      <c r="G232">
        <v>0</v>
      </c>
      <c r="H232">
        <v>0</v>
      </c>
      <c r="I232">
        <f t="shared" si="6"/>
        <v>630340.31932561344</v>
      </c>
      <c r="J232">
        <f t="shared" si="7"/>
        <v>-33371.049325613421</v>
      </c>
    </row>
    <row r="233" spans="1:10" x14ac:dyDescent="0.3">
      <c r="A233" s="5" t="s">
        <v>83</v>
      </c>
      <c r="B233">
        <v>647512.85</v>
      </c>
      <c r="C233">
        <v>25818.080000000002</v>
      </c>
      <c r="D233">
        <v>5457</v>
      </c>
      <c r="E233">
        <v>95.4</v>
      </c>
      <c r="F233">
        <v>1</v>
      </c>
      <c r="G233">
        <v>0</v>
      </c>
      <c r="H233">
        <v>0</v>
      </c>
      <c r="I233">
        <f t="shared" si="6"/>
        <v>615766.1459145305</v>
      </c>
      <c r="J233">
        <f t="shared" si="7"/>
        <v>31746.704085469479</v>
      </c>
    </row>
    <row r="234" spans="1:10" x14ac:dyDescent="0.3">
      <c r="A234" s="5" t="s">
        <v>84</v>
      </c>
      <c r="B234">
        <v>658072.14</v>
      </c>
      <c r="C234">
        <v>47241.919999999998</v>
      </c>
      <c r="D234">
        <v>4264</v>
      </c>
      <c r="E234">
        <v>95.3</v>
      </c>
      <c r="F234">
        <v>0</v>
      </c>
      <c r="G234">
        <v>0</v>
      </c>
      <c r="H234">
        <v>1</v>
      </c>
      <c r="I234">
        <f t="shared" si="6"/>
        <v>617975.11939294962</v>
      </c>
      <c r="J234">
        <f t="shared" si="7"/>
        <v>40097.020607050392</v>
      </c>
    </row>
    <row r="235" spans="1:10" x14ac:dyDescent="0.3">
      <c r="A235" s="5" t="s">
        <v>84</v>
      </c>
      <c r="B235">
        <v>723305.11</v>
      </c>
      <c r="C235">
        <v>61650.79</v>
      </c>
      <c r="D235">
        <v>5321</v>
      </c>
      <c r="E235">
        <v>89.2</v>
      </c>
      <c r="F235">
        <v>0</v>
      </c>
      <c r="G235">
        <v>0</v>
      </c>
      <c r="H235">
        <v>1</v>
      </c>
      <c r="I235">
        <f t="shared" si="6"/>
        <v>653672.77533584274</v>
      </c>
      <c r="J235">
        <f t="shared" si="7"/>
        <v>69632.334664157243</v>
      </c>
    </row>
    <row r="236" spans="1:10" x14ac:dyDescent="0.3">
      <c r="A236" s="5" t="s">
        <v>84</v>
      </c>
      <c r="B236">
        <v>640666.53</v>
      </c>
      <c r="C236">
        <v>62582.71</v>
      </c>
      <c r="D236">
        <v>5479</v>
      </c>
      <c r="E236">
        <v>81.2</v>
      </c>
      <c r="F236">
        <v>0</v>
      </c>
      <c r="G236">
        <v>0</v>
      </c>
      <c r="H236">
        <v>1</v>
      </c>
      <c r="I236">
        <f t="shared" si="6"/>
        <v>637583.82468311233</v>
      </c>
      <c r="J236">
        <f t="shared" si="7"/>
        <v>3082.7053168877028</v>
      </c>
    </row>
    <row r="237" spans="1:10" x14ac:dyDescent="0.3">
      <c r="A237" s="5" t="s">
        <v>84</v>
      </c>
      <c r="B237">
        <v>670629.48</v>
      </c>
      <c r="C237">
        <v>47944.14</v>
      </c>
      <c r="D237">
        <v>6169</v>
      </c>
      <c r="E237">
        <v>92.2</v>
      </c>
      <c r="F237">
        <v>0</v>
      </c>
      <c r="G237">
        <v>0</v>
      </c>
      <c r="H237">
        <v>1</v>
      </c>
      <c r="I237">
        <f t="shared" si="6"/>
        <v>674594.60258431826</v>
      </c>
      <c r="J237">
        <f t="shared" si="7"/>
        <v>-3965.1225843182765</v>
      </c>
    </row>
    <row r="238" spans="1:10" x14ac:dyDescent="0.3">
      <c r="A238" s="5" t="s">
        <v>85</v>
      </c>
      <c r="B238">
        <v>721079.35</v>
      </c>
      <c r="C238">
        <v>46495.4</v>
      </c>
      <c r="D238">
        <v>9908</v>
      </c>
      <c r="E238">
        <v>89.4</v>
      </c>
      <c r="F238">
        <v>0</v>
      </c>
      <c r="G238">
        <v>0</v>
      </c>
      <c r="H238">
        <v>1</v>
      </c>
      <c r="I238">
        <f t="shared" si="6"/>
        <v>791627.04566284223</v>
      </c>
      <c r="J238">
        <f t="shared" si="7"/>
        <v>-70547.695662842249</v>
      </c>
    </row>
    <row r="239" spans="1:10" x14ac:dyDescent="0.3">
      <c r="A239" s="5" t="s">
        <v>85</v>
      </c>
      <c r="B239">
        <v>810355.02</v>
      </c>
      <c r="C239">
        <v>72961.95</v>
      </c>
      <c r="D239">
        <v>9996</v>
      </c>
      <c r="E239">
        <v>89.1</v>
      </c>
      <c r="F239">
        <v>0</v>
      </c>
      <c r="G239">
        <v>0</v>
      </c>
      <c r="H239">
        <v>1</v>
      </c>
      <c r="I239">
        <f t="shared" si="6"/>
        <v>825149.23627513356</v>
      </c>
      <c r="J239">
        <f t="shared" si="7"/>
        <v>-14794.216275133542</v>
      </c>
    </row>
    <row r="240" spans="1:10" x14ac:dyDescent="0.3">
      <c r="A240" s="5" t="s">
        <v>85</v>
      </c>
      <c r="B240">
        <v>761919.25</v>
      </c>
      <c r="C240">
        <v>59060.05</v>
      </c>
      <c r="D240">
        <v>9702</v>
      </c>
      <c r="E240">
        <v>80.900000000000006</v>
      </c>
      <c r="F240">
        <v>0</v>
      </c>
      <c r="G240">
        <v>0</v>
      </c>
      <c r="H240">
        <v>1</v>
      </c>
      <c r="I240">
        <f t="shared" si="6"/>
        <v>775595.57733416662</v>
      </c>
      <c r="J240">
        <f t="shared" si="7"/>
        <v>-13676.327334166621</v>
      </c>
    </row>
    <row r="241" spans="1:10" x14ac:dyDescent="0.3">
      <c r="A241" s="5" t="s">
        <v>85</v>
      </c>
      <c r="B241">
        <v>737070.18</v>
      </c>
      <c r="C241">
        <v>26248.1</v>
      </c>
      <c r="D241">
        <v>9314</v>
      </c>
      <c r="E241">
        <v>83.7</v>
      </c>
      <c r="F241">
        <v>0</v>
      </c>
      <c r="G241">
        <v>0</v>
      </c>
      <c r="H241">
        <v>1</v>
      </c>
      <c r="I241">
        <f t="shared" si="6"/>
        <v>731432.67791487311</v>
      </c>
      <c r="J241">
        <f t="shared" si="7"/>
        <v>5637.5020851269364</v>
      </c>
    </row>
    <row r="242" spans="1:10" x14ac:dyDescent="0.3">
      <c r="A242" s="5" t="s">
        <v>86</v>
      </c>
      <c r="B242">
        <v>776992.93</v>
      </c>
      <c r="C242">
        <v>69900.12</v>
      </c>
      <c r="D242">
        <v>8055</v>
      </c>
      <c r="E242">
        <v>85.6</v>
      </c>
      <c r="F242">
        <v>0</v>
      </c>
      <c r="G242">
        <v>0</v>
      </c>
      <c r="H242">
        <v>0</v>
      </c>
      <c r="I242">
        <f t="shared" si="6"/>
        <v>750361.07506199554</v>
      </c>
      <c r="J242">
        <f t="shared" si="7"/>
        <v>26631.854938004515</v>
      </c>
    </row>
    <row r="243" spans="1:10" x14ac:dyDescent="0.3">
      <c r="A243" s="5" t="s">
        <v>86</v>
      </c>
      <c r="B243">
        <v>676337.41</v>
      </c>
      <c r="C243">
        <v>51781.599999999999</v>
      </c>
      <c r="D243">
        <v>5648</v>
      </c>
      <c r="E243">
        <v>85.5</v>
      </c>
      <c r="F243">
        <v>0</v>
      </c>
      <c r="G243">
        <v>0</v>
      </c>
      <c r="H243">
        <v>0</v>
      </c>
      <c r="I243">
        <f t="shared" si="6"/>
        <v>647066.14268394792</v>
      </c>
      <c r="J243">
        <f t="shared" si="7"/>
        <v>29271.267316052108</v>
      </c>
    </row>
    <row r="244" spans="1:10" x14ac:dyDescent="0.3">
      <c r="A244" s="5" t="s">
        <v>86</v>
      </c>
      <c r="B244">
        <v>828219.67</v>
      </c>
      <c r="C244">
        <v>70799.64</v>
      </c>
      <c r="D244">
        <v>10076</v>
      </c>
      <c r="E244">
        <v>84.8</v>
      </c>
      <c r="F244">
        <v>0</v>
      </c>
      <c r="G244">
        <v>0</v>
      </c>
      <c r="H244">
        <v>0</v>
      </c>
      <c r="I244">
        <f t="shared" si="6"/>
        <v>817625.38351339323</v>
      </c>
      <c r="J244">
        <f t="shared" si="7"/>
        <v>10594.286486606812</v>
      </c>
    </row>
    <row r="245" spans="1:10" x14ac:dyDescent="0.3">
      <c r="A245" s="5" t="s">
        <v>86</v>
      </c>
      <c r="B245">
        <v>763159.92</v>
      </c>
      <c r="C245">
        <v>53546.34</v>
      </c>
      <c r="D245">
        <v>8004</v>
      </c>
      <c r="E245">
        <v>95.2</v>
      </c>
      <c r="F245">
        <v>0</v>
      </c>
      <c r="G245">
        <v>0</v>
      </c>
      <c r="H245">
        <v>0</v>
      </c>
      <c r="I245">
        <f t="shared" si="6"/>
        <v>756294.28989970428</v>
      </c>
      <c r="J245">
        <f t="shared" si="7"/>
        <v>6865.6301002957625</v>
      </c>
    </row>
    <row r="246" spans="1:10" x14ac:dyDescent="0.3">
      <c r="A246" s="5" t="s">
        <v>87</v>
      </c>
      <c r="B246">
        <v>802001.68</v>
      </c>
      <c r="C246">
        <v>76942.2</v>
      </c>
      <c r="D246">
        <v>8934</v>
      </c>
      <c r="E246">
        <v>91</v>
      </c>
      <c r="F246">
        <v>1</v>
      </c>
      <c r="G246">
        <v>0</v>
      </c>
      <c r="H246">
        <v>0</v>
      </c>
      <c r="I246">
        <f t="shared" si="6"/>
        <v>781762.30543080601</v>
      </c>
      <c r="J246">
        <f t="shared" si="7"/>
        <v>20239.374569194042</v>
      </c>
    </row>
    <row r="247" spans="1:10" x14ac:dyDescent="0.3">
      <c r="A247" s="5" t="s">
        <v>87</v>
      </c>
      <c r="B247">
        <v>750471.34</v>
      </c>
      <c r="C247">
        <v>48060.78</v>
      </c>
      <c r="D247">
        <v>8733</v>
      </c>
      <c r="E247">
        <v>89.9</v>
      </c>
      <c r="F247">
        <v>1</v>
      </c>
      <c r="G247">
        <v>0</v>
      </c>
      <c r="H247">
        <v>0</v>
      </c>
      <c r="I247">
        <f t="shared" si="6"/>
        <v>737603.43932466139</v>
      </c>
      <c r="J247">
        <f t="shared" si="7"/>
        <v>12867.900675338577</v>
      </c>
    </row>
    <row r="248" spans="1:10" x14ac:dyDescent="0.3">
      <c r="A248" s="5" t="s">
        <v>87</v>
      </c>
      <c r="B248">
        <v>679230.86</v>
      </c>
      <c r="C248">
        <v>57390.04</v>
      </c>
      <c r="D248">
        <v>7374</v>
      </c>
      <c r="E248">
        <v>91.8</v>
      </c>
      <c r="F248">
        <v>1</v>
      </c>
      <c r="G248">
        <v>0</v>
      </c>
      <c r="H248">
        <v>0</v>
      </c>
      <c r="I248">
        <f t="shared" si="6"/>
        <v>707991.83162118518</v>
      </c>
      <c r="J248">
        <f t="shared" si="7"/>
        <v>-28760.971621185192</v>
      </c>
    </row>
    <row r="249" spans="1:10" x14ac:dyDescent="0.3">
      <c r="A249" s="5" t="s">
        <v>87</v>
      </c>
      <c r="B249">
        <v>679888.74</v>
      </c>
      <c r="C249">
        <v>21536.18</v>
      </c>
      <c r="D249">
        <v>8119</v>
      </c>
      <c r="E249">
        <v>90.4</v>
      </c>
      <c r="F249">
        <v>1</v>
      </c>
      <c r="G249">
        <v>0</v>
      </c>
      <c r="H249">
        <v>0</v>
      </c>
      <c r="I249">
        <f t="shared" si="6"/>
        <v>686760.20642264339</v>
      </c>
      <c r="J249">
        <f t="shared" si="7"/>
        <v>-6871.4664226433961</v>
      </c>
    </row>
    <row r="250" spans="1:10" x14ac:dyDescent="0.3">
      <c r="A250" s="5" t="s">
        <v>88</v>
      </c>
      <c r="B250">
        <v>606783.67000000004</v>
      </c>
      <c r="C250">
        <v>40923.67</v>
      </c>
      <c r="D250">
        <v>3875</v>
      </c>
      <c r="E250">
        <v>96.1</v>
      </c>
      <c r="F250">
        <v>0</v>
      </c>
      <c r="G250">
        <v>1</v>
      </c>
      <c r="H250">
        <v>0</v>
      </c>
      <c r="I250">
        <f t="shared" si="6"/>
        <v>592617.19723885716</v>
      </c>
      <c r="J250">
        <f t="shared" si="7"/>
        <v>14166.472761142883</v>
      </c>
    </row>
    <row r="251" spans="1:10" x14ac:dyDescent="0.3">
      <c r="A251" s="5" t="s">
        <v>88</v>
      </c>
      <c r="B251">
        <v>642751.42000000004</v>
      </c>
      <c r="C251">
        <v>72932.55</v>
      </c>
      <c r="D251">
        <v>5765</v>
      </c>
      <c r="E251">
        <v>81.8</v>
      </c>
      <c r="F251">
        <v>0</v>
      </c>
      <c r="G251">
        <v>1</v>
      </c>
      <c r="H251">
        <v>0</v>
      </c>
      <c r="I251">
        <f t="shared" si="6"/>
        <v>654291.71865083161</v>
      </c>
      <c r="J251">
        <f t="shared" si="7"/>
        <v>-11540.298650831566</v>
      </c>
    </row>
    <row r="252" spans="1:10" x14ac:dyDescent="0.3">
      <c r="A252" s="5" t="s">
        <v>88</v>
      </c>
      <c r="B252">
        <v>647953.78</v>
      </c>
      <c r="C252">
        <v>38361.93</v>
      </c>
      <c r="D252">
        <v>6322</v>
      </c>
      <c r="E252">
        <v>88.4</v>
      </c>
      <c r="F252">
        <v>0</v>
      </c>
      <c r="G252">
        <v>1</v>
      </c>
      <c r="H252">
        <v>0</v>
      </c>
      <c r="I252">
        <f t="shared" si="6"/>
        <v>650759.9210258309</v>
      </c>
      <c r="J252">
        <f t="shared" si="7"/>
        <v>-2806.1410258308752</v>
      </c>
    </row>
    <row r="253" spans="1:10" x14ac:dyDescent="0.3">
      <c r="A253" s="5" t="s">
        <v>88</v>
      </c>
      <c r="B253">
        <v>729440.45</v>
      </c>
      <c r="C253">
        <v>97480.94</v>
      </c>
      <c r="D253">
        <v>6840</v>
      </c>
      <c r="E253">
        <v>79.2</v>
      </c>
      <c r="F253">
        <v>0</v>
      </c>
      <c r="G253">
        <v>1</v>
      </c>
      <c r="H253">
        <v>0</v>
      </c>
      <c r="I253">
        <f t="shared" si="6"/>
        <v>712487.3659336823</v>
      </c>
      <c r="J253">
        <f t="shared" si="7"/>
        <v>16953.08406631765</v>
      </c>
    </row>
    <row r="254" spans="1:10" x14ac:dyDescent="0.3">
      <c r="A254" s="5" t="s">
        <v>89</v>
      </c>
      <c r="B254">
        <v>764949</v>
      </c>
      <c r="C254">
        <v>81801.8</v>
      </c>
      <c r="D254">
        <v>6782</v>
      </c>
      <c r="E254">
        <v>99</v>
      </c>
      <c r="F254">
        <v>0</v>
      </c>
      <c r="G254">
        <v>0</v>
      </c>
      <c r="H254">
        <v>0</v>
      </c>
      <c r="I254">
        <f t="shared" si="6"/>
        <v>759122.37073039403</v>
      </c>
      <c r="J254">
        <f t="shared" si="7"/>
        <v>5826.6292696059681</v>
      </c>
    </row>
    <row r="255" spans="1:10" x14ac:dyDescent="0.3">
      <c r="A255" s="5" t="s">
        <v>89</v>
      </c>
      <c r="B255">
        <v>799046.94</v>
      </c>
      <c r="C255">
        <v>63582.11</v>
      </c>
      <c r="D255">
        <v>6856</v>
      </c>
      <c r="E255">
        <v>89.5</v>
      </c>
      <c r="F255">
        <v>0</v>
      </c>
      <c r="G255">
        <v>0</v>
      </c>
      <c r="H255">
        <v>0</v>
      </c>
      <c r="I255">
        <f t="shared" si="6"/>
        <v>713248.8296523944</v>
      </c>
      <c r="J255">
        <f t="shared" si="7"/>
        <v>85798.110347605543</v>
      </c>
    </row>
    <row r="256" spans="1:10" x14ac:dyDescent="0.3">
      <c r="A256" s="5" t="s">
        <v>89</v>
      </c>
      <c r="B256">
        <v>720079.54</v>
      </c>
      <c r="C256">
        <v>75412.740000000005</v>
      </c>
      <c r="D256">
        <v>5641</v>
      </c>
      <c r="E256">
        <v>87.9</v>
      </c>
      <c r="F256">
        <v>0</v>
      </c>
      <c r="G256">
        <v>0</v>
      </c>
      <c r="H256">
        <v>0</v>
      </c>
      <c r="I256">
        <f t="shared" si="6"/>
        <v>681617.24884209619</v>
      </c>
      <c r="J256">
        <f t="shared" si="7"/>
        <v>38462.291157903848</v>
      </c>
    </row>
    <row r="257" spans="1:10" x14ac:dyDescent="0.3">
      <c r="A257" s="5" t="s">
        <v>89</v>
      </c>
      <c r="B257">
        <v>612390.14</v>
      </c>
      <c r="C257">
        <v>36290.080000000002</v>
      </c>
      <c r="D257">
        <v>5787</v>
      </c>
      <c r="E257">
        <v>88.3</v>
      </c>
      <c r="F257">
        <v>0</v>
      </c>
      <c r="G257">
        <v>0</v>
      </c>
      <c r="H257">
        <v>0</v>
      </c>
      <c r="I257">
        <f t="shared" si="6"/>
        <v>641293.49769039045</v>
      </c>
      <c r="J257">
        <f t="shared" si="7"/>
        <v>-28903.357690390432</v>
      </c>
    </row>
    <row r="258" spans="1:10" x14ac:dyDescent="0.3">
      <c r="A258" s="5" t="s">
        <v>90</v>
      </c>
      <c r="B258">
        <v>840108.12</v>
      </c>
      <c r="C258">
        <v>65272.58</v>
      </c>
      <c r="D258">
        <v>8165</v>
      </c>
      <c r="E258">
        <v>87.8</v>
      </c>
      <c r="F258">
        <v>0</v>
      </c>
      <c r="G258">
        <v>0</v>
      </c>
      <c r="H258">
        <v>0</v>
      </c>
      <c r="I258">
        <f t="shared" ref="I258:I321" si="8">153400.7954+1.18591413*C258+33.87042078*D258+2818.206779*E258-21940.48828*F258-11393.10865*G258-4449.116708*H258</f>
        <v>754799.01118845539</v>
      </c>
      <c r="J258">
        <f t="shared" ref="J258:J321" si="9">B258-I258</f>
        <v>85309.108811544604</v>
      </c>
    </row>
    <row r="259" spans="1:10" x14ac:dyDescent="0.3">
      <c r="A259" s="5" t="s">
        <v>90</v>
      </c>
      <c r="B259">
        <v>697888.09</v>
      </c>
      <c r="C259">
        <v>28670.43</v>
      </c>
      <c r="D259">
        <v>7574</v>
      </c>
      <c r="E259">
        <v>82.7</v>
      </c>
      <c r="F259">
        <v>0</v>
      </c>
      <c r="G259">
        <v>0</v>
      </c>
      <c r="H259">
        <v>0</v>
      </c>
      <c r="I259">
        <f t="shared" si="8"/>
        <v>677001.73106119595</v>
      </c>
      <c r="J259">
        <f t="shared" si="9"/>
        <v>20886.358938804013</v>
      </c>
    </row>
    <row r="260" spans="1:10" x14ac:dyDescent="0.3">
      <c r="A260" s="5" t="s">
        <v>90</v>
      </c>
      <c r="B260">
        <v>746115.59</v>
      </c>
      <c r="C260">
        <v>44189.34</v>
      </c>
      <c r="D260">
        <v>8634</v>
      </c>
      <c r="E260">
        <v>87.5</v>
      </c>
      <c r="F260">
        <v>0</v>
      </c>
      <c r="G260">
        <v>0</v>
      </c>
      <c r="H260">
        <v>0</v>
      </c>
      <c r="I260">
        <f t="shared" si="8"/>
        <v>744835.86427839426</v>
      </c>
      <c r="J260">
        <f t="shared" si="9"/>
        <v>1279.7257216057042</v>
      </c>
    </row>
    <row r="261" spans="1:10" x14ac:dyDescent="0.3">
      <c r="A261" s="5" t="s">
        <v>90</v>
      </c>
      <c r="B261">
        <v>776110.32</v>
      </c>
      <c r="C261">
        <v>38397.82</v>
      </c>
      <c r="D261">
        <v>7836</v>
      </c>
      <c r="E261">
        <v>92.2</v>
      </c>
      <c r="F261">
        <v>0</v>
      </c>
      <c r="G261">
        <v>0</v>
      </c>
      <c r="H261">
        <v>0</v>
      </c>
      <c r="I261">
        <f t="shared" si="8"/>
        <v>724184.59495507658</v>
      </c>
      <c r="J261">
        <f t="shared" si="9"/>
        <v>51925.725044923369</v>
      </c>
    </row>
    <row r="262" spans="1:10" x14ac:dyDescent="0.3">
      <c r="A262" s="5" t="s">
        <v>91</v>
      </c>
      <c r="B262">
        <v>528852.62</v>
      </c>
      <c r="C262">
        <v>14519.37</v>
      </c>
      <c r="D262">
        <v>3047</v>
      </c>
      <c r="E262">
        <v>90.3</v>
      </c>
      <c r="F262">
        <v>0</v>
      </c>
      <c r="G262">
        <v>0</v>
      </c>
      <c r="H262">
        <v>1</v>
      </c>
      <c r="I262">
        <f t="shared" si="8"/>
        <v>523857.64899405808</v>
      </c>
      <c r="J262">
        <f t="shared" si="9"/>
        <v>4994.9710059419158</v>
      </c>
    </row>
    <row r="263" spans="1:10" x14ac:dyDescent="0.3">
      <c r="A263" s="5" t="s">
        <v>91</v>
      </c>
      <c r="B263">
        <v>605751.32999999996</v>
      </c>
      <c r="C263">
        <v>43288.2</v>
      </c>
      <c r="D263">
        <v>4783</v>
      </c>
      <c r="E263">
        <v>87.3</v>
      </c>
      <c r="F263">
        <v>0</v>
      </c>
      <c r="G263">
        <v>0</v>
      </c>
      <c r="H263">
        <v>1</v>
      </c>
      <c r="I263">
        <f t="shared" si="8"/>
        <v>608319.441131706</v>
      </c>
      <c r="J263">
        <f t="shared" si="9"/>
        <v>-2568.1111317060422</v>
      </c>
    </row>
    <row r="264" spans="1:10" x14ac:dyDescent="0.3">
      <c r="A264" s="5" t="s">
        <v>91</v>
      </c>
      <c r="B264">
        <v>677640.65</v>
      </c>
      <c r="C264">
        <v>51450.55</v>
      </c>
      <c r="D264">
        <v>4902</v>
      </c>
      <c r="E264">
        <v>83.7</v>
      </c>
      <c r="F264">
        <v>0</v>
      </c>
      <c r="G264">
        <v>0</v>
      </c>
      <c r="H264">
        <v>1</v>
      </c>
      <c r="I264">
        <f t="shared" si="8"/>
        <v>611884.32299913163</v>
      </c>
      <c r="J264">
        <f t="shared" si="9"/>
        <v>65756.32700086839</v>
      </c>
    </row>
    <row r="265" spans="1:10" x14ac:dyDescent="0.3">
      <c r="A265" s="5" t="s">
        <v>91</v>
      </c>
      <c r="B265">
        <v>636613.23</v>
      </c>
      <c r="C265">
        <v>58688.26</v>
      </c>
      <c r="D265">
        <v>4022</v>
      </c>
      <c r="E265">
        <v>93.8</v>
      </c>
      <c r="F265">
        <v>0</v>
      </c>
      <c r="G265">
        <v>0</v>
      </c>
      <c r="H265">
        <v>1</v>
      </c>
      <c r="I265">
        <f t="shared" si="8"/>
        <v>619125.54373847391</v>
      </c>
      <c r="J265">
        <f t="shared" si="9"/>
        <v>17487.686261526076</v>
      </c>
    </row>
    <row r="266" spans="1:10" x14ac:dyDescent="0.3">
      <c r="A266" s="5" t="s">
        <v>92</v>
      </c>
      <c r="B266">
        <v>708985.19</v>
      </c>
      <c r="C266">
        <v>58981.91</v>
      </c>
      <c r="D266">
        <v>7324</v>
      </c>
      <c r="E266">
        <v>95.8</v>
      </c>
      <c r="F266">
        <v>1</v>
      </c>
      <c r="G266">
        <v>0</v>
      </c>
      <c r="H266">
        <v>0</v>
      </c>
      <c r="I266">
        <f t="shared" si="8"/>
        <v>719458.95882430824</v>
      </c>
      <c r="J266">
        <f t="shared" si="9"/>
        <v>-10473.768824308296</v>
      </c>
    </row>
    <row r="267" spans="1:10" x14ac:dyDescent="0.3">
      <c r="A267" s="5" t="s">
        <v>92</v>
      </c>
      <c r="B267">
        <v>767792.94</v>
      </c>
      <c r="C267">
        <v>73454.539999999994</v>
      </c>
      <c r="D267">
        <v>8129</v>
      </c>
      <c r="E267">
        <v>85.2</v>
      </c>
      <c r="F267">
        <v>1</v>
      </c>
      <c r="G267">
        <v>0</v>
      </c>
      <c r="H267">
        <v>0</v>
      </c>
      <c r="I267">
        <f t="shared" si="8"/>
        <v>734014.95211007015</v>
      </c>
      <c r="J267">
        <f t="shared" si="9"/>
        <v>33777.987889929791</v>
      </c>
    </row>
    <row r="268" spans="1:10" x14ac:dyDescent="0.3">
      <c r="A268" s="5" t="s">
        <v>92</v>
      </c>
      <c r="B268">
        <v>745580.51</v>
      </c>
      <c r="C268">
        <v>56602.39</v>
      </c>
      <c r="D268">
        <v>7969</v>
      </c>
      <c r="E268">
        <v>88.3</v>
      </c>
      <c r="F268">
        <v>1</v>
      </c>
      <c r="G268">
        <v>0</v>
      </c>
      <c r="H268">
        <v>0</v>
      </c>
      <c r="I268">
        <f t="shared" si="8"/>
        <v>717346.92299429071</v>
      </c>
      <c r="J268">
        <f t="shared" si="9"/>
        <v>28233.587005709298</v>
      </c>
    </row>
    <row r="269" spans="1:10" x14ac:dyDescent="0.3">
      <c r="A269" s="5" t="s">
        <v>92</v>
      </c>
      <c r="B269">
        <v>762328.31</v>
      </c>
      <c r="C269">
        <v>67722.289999999994</v>
      </c>
      <c r="D269">
        <v>7240</v>
      </c>
      <c r="E269">
        <v>92.9</v>
      </c>
      <c r="F269">
        <v>1</v>
      </c>
      <c r="G269">
        <v>0</v>
      </c>
      <c r="H269">
        <v>0</v>
      </c>
      <c r="I269">
        <f t="shared" si="8"/>
        <v>718806.38396325766</v>
      </c>
      <c r="J269">
        <f t="shared" si="9"/>
        <v>43521.926036742399</v>
      </c>
    </row>
    <row r="270" spans="1:10" x14ac:dyDescent="0.3">
      <c r="A270" s="5" t="s">
        <v>93</v>
      </c>
      <c r="B270">
        <v>660633.99</v>
      </c>
      <c r="C270">
        <v>48752.92</v>
      </c>
      <c r="D270">
        <v>8052</v>
      </c>
      <c r="E270">
        <v>94.9</v>
      </c>
      <c r="F270">
        <v>1</v>
      </c>
      <c r="G270">
        <v>0</v>
      </c>
      <c r="H270">
        <v>0</v>
      </c>
      <c r="I270">
        <f t="shared" si="8"/>
        <v>729449.53527441958</v>
      </c>
      <c r="J270">
        <f t="shared" si="9"/>
        <v>-68815.545274419594</v>
      </c>
    </row>
    <row r="271" spans="1:10" x14ac:dyDescent="0.3">
      <c r="A271" s="5" t="s">
        <v>93</v>
      </c>
      <c r="B271">
        <v>739374.56</v>
      </c>
      <c r="C271">
        <v>23914.97</v>
      </c>
      <c r="D271">
        <v>8018</v>
      </c>
      <c r="E271">
        <v>89</v>
      </c>
      <c r="F271">
        <v>1</v>
      </c>
      <c r="G271">
        <v>0</v>
      </c>
      <c r="H271">
        <v>0</v>
      </c>
      <c r="I271">
        <f t="shared" si="8"/>
        <v>682214.84510656609</v>
      </c>
      <c r="J271">
        <f t="shared" si="9"/>
        <v>57159.714893433964</v>
      </c>
    </row>
    <row r="272" spans="1:10" x14ac:dyDescent="0.3">
      <c r="A272" s="5" t="s">
        <v>93</v>
      </c>
      <c r="B272">
        <v>799756.46</v>
      </c>
      <c r="C272">
        <v>61995.3</v>
      </c>
      <c r="D272">
        <v>10192</v>
      </c>
      <c r="E272">
        <v>87.6</v>
      </c>
      <c r="F272">
        <v>1</v>
      </c>
      <c r="G272">
        <v>0</v>
      </c>
      <c r="H272">
        <v>0</v>
      </c>
      <c r="I272">
        <f t="shared" si="8"/>
        <v>797063.65181374911</v>
      </c>
      <c r="J272">
        <f t="shared" si="9"/>
        <v>2692.8081862508552</v>
      </c>
    </row>
    <row r="273" spans="1:10" x14ac:dyDescent="0.3">
      <c r="A273" s="5" t="s">
        <v>93</v>
      </c>
      <c r="B273">
        <v>593343</v>
      </c>
      <c r="C273">
        <v>29344.93</v>
      </c>
      <c r="D273">
        <v>7446</v>
      </c>
      <c r="E273">
        <v>86.2</v>
      </c>
      <c r="F273">
        <v>1</v>
      </c>
      <c r="G273">
        <v>0</v>
      </c>
      <c r="H273">
        <v>0</v>
      </c>
      <c r="I273">
        <f t="shared" si="8"/>
        <v>661389.45172854094</v>
      </c>
      <c r="J273">
        <f t="shared" si="9"/>
        <v>-68046.451728540938</v>
      </c>
    </row>
    <row r="274" spans="1:10" x14ac:dyDescent="0.3">
      <c r="A274" s="5" t="s">
        <v>94</v>
      </c>
      <c r="B274">
        <v>645039.97</v>
      </c>
      <c r="C274">
        <v>50532.17</v>
      </c>
      <c r="D274">
        <v>5689</v>
      </c>
      <c r="E274">
        <v>85.6</v>
      </c>
      <c r="F274">
        <v>0</v>
      </c>
      <c r="G274">
        <v>0</v>
      </c>
      <c r="H274">
        <v>1</v>
      </c>
      <c r="I274">
        <f t="shared" si="8"/>
        <v>642805.81721438211</v>
      </c>
      <c r="J274">
        <f t="shared" si="9"/>
        <v>2234.1527856178582</v>
      </c>
    </row>
    <row r="275" spans="1:10" x14ac:dyDescent="0.3">
      <c r="A275" s="5" t="s">
        <v>94</v>
      </c>
      <c r="B275">
        <v>561597.32999999996</v>
      </c>
      <c r="C275">
        <v>17562.57</v>
      </c>
      <c r="D275">
        <v>3326</v>
      </c>
      <c r="E275">
        <v>88.1</v>
      </c>
      <c r="F275">
        <v>0</v>
      </c>
      <c r="G275">
        <v>0</v>
      </c>
      <c r="H275">
        <v>1</v>
      </c>
      <c r="I275">
        <f t="shared" si="8"/>
        <v>530716.41535829415</v>
      </c>
      <c r="J275">
        <f t="shared" si="9"/>
        <v>30880.914641705807</v>
      </c>
    </row>
    <row r="276" spans="1:10" x14ac:dyDescent="0.3">
      <c r="A276" s="5" t="s">
        <v>94</v>
      </c>
      <c r="B276">
        <v>635837.74</v>
      </c>
      <c r="C276">
        <v>47648.71</v>
      </c>
      <c r="D276">
        <v>5767</v>
      </c>
      <c r="E276">
        <v>89.8</v>
      </c>
      <c r="F276">
        <v>0</v>
      </c>
      <c r="G276">
        <v>0</v>
      </c>
      <c r="H276">
        <v>1</v>
      </c>
      <c r="I276">
        <f t="shared" si="8"/>
        <v>653864.64254973235</v>
      </c>
      <c r="J276">
        <f t="shared" si="9"/>
        <v>-18026.90254973236</v>
      </c>
    </row>
    <row r="277" spans="1:10" x14ac:dyDescent="0.3">
      <c r="A277" s="5" t="s">
        <v>94</v>
      </c>
      <c r="B277">
        <v>686737.87</v>
      </c>
      <c r="C277">
        <v>38297.58</v>
      </c>
      <c r="D277">
        <v>5893</v>
      </c>
      <c r="E277">
        <v>77.599999999999994</v>
      </c>
      <c r="F277">
        <v>0</v>
      </c>
      <c r="G277">
        <v>0</v>
      </c>
      <c r="H277">
        <v>1</v>
      </c>
      <c r="I277">
        <f t="shared" si="8"/>
        <v>612660.5556657454</v>
      </c>
      <c r="J277">
        <f t="shared" si="9"/>
        <v>74077.314334254595</v>
      </c>
    </row>
    <row r="278" spans="1:10" x14ac:dyDescent="0.3">
      <c r="A278" s="5" t="s">
        <v>95</v>
      </c>
      <c r="B278">
        <v>673076.34</v>
      </c>
      <c r="C278">
        <v>61784.11</v>
      </c>
      <c r="D278">
        <v>8564</v>
      </c>
      <c r="E278">
        <v>87.4</v>
      </c>
      <c r="F278">
        <v>0</v>
      </c>
      <c r="G278">
        <v>0</v>
      </c>
      <c r="H278">
        <v>0</v>
      </c>
      <c r="I278">
        <f t="shared" si="8"/>
        <v>763049.00050299428</v>
      </c>
      <c r="J278">
        <f t="shared" si="9"/>
        <v>-89972.660502994317</v>
      </c>
    </row>
    <row r="279" spans="1:10" x14ac:dyDescent="0.3">
      <c r="A279" s="5" t="s">
        <v>95</v>
      </c>
      <c r="B279">
        <v>738548.42</v>
      </c>
      <c r="C279">
        <v>36832.33</v>
      </c>
      <c r="D279">
        <v>8001</v>
      </c>
      <c r="E279">
        <v>88.7</v>
      </c>
      <c r="F279">
        <v>0</v>
      </c>
      <c r="G279">
        <v>0</v>
      </c>
      <c r="H279">
        <v>0</v>
      </c>
      <c r="I279">
        <f t="shared" si="8"/>
        <v>718052.95394590299</v>
      </c>
      <c r="J279">
        <f t="shared" si="9"/>
        <v>20495.466054097051</v>
      </c>
    </row>
    <row r="280" spans="1:10" x14ac:dyDescent="0.3">
      <c r="A280" s="5" t="s">
        <v>95</v>
      </c>
      <c r="B280">
        <v>756619.77</v>
      </c>
      <c r="C280">
        <v>48609.41</v>
      </c>
      <c r="D280">
        <v>9324</v>
      </c>
      <c r="E280">
        <v>86.5</v>
      </c>
      <c r="F280">
        <v>0</v>
      </c>
      <c r="G280">
        <v>0</v>
      </c>
      <c r="H280">
        <v>0</v>
      </c>
      <c r="I280">
        <f t="shared" si="8"/>
        <v>770630.07130618324</v>
      </c>
      <c r="J280">
        <f t="shared" si="9"/>
        <v>-14010.301306183217</v>
      </c>
    </row>
    <row r="281" spans="1:10" x14ac:dyDescent="0.3">
      <c r="A281" s="5" t="s">
        <v>95</v>
      </c>
      <c r="B281">
        <v>761122.42</v>
      </c>
      <c r="C281">
        <v>70284.06</v>
      </c>
      <c r="D281">
        <v>9109</v>
      </c>
      <c r="E281">
        <v>87</v>
      </c>
      <c r="F281">
        <v>0</v>
      </c>
      <c r="G281">
        <v>0</v>
      </c>
      <c r="H281">
        <v>0</v>
      </c>
      <c r="I281">
        <f t="shared" si="8"/>
        <v>790461.30792578787</v>
      </c>
      <c r="J281">
        <f t="shared" si="9"/>
        <v>-29338.887925787829</v>
      </c>
    </row>
    <row r="282" spans="1:10" x14ac:dyDescent="0.3">
      <c r="A282" s="5" t="s">
        <v>96</v>
      </c>
      <c r="B282">
        <v>524899.56999999995</v>
      </c>
      <c r="C282">
        <v>45940.39</v>
      </c>
      <c r="D282">
        <v>4022</v>
      </c>
      <c r="E282">
        <v>83</v>
      </c>
      <c r="F282">
        <v>0</v>
      </c>
      <c r="G282">
        <v>0</v>
      </c>
      <c r="H282">
        <v>0</v>
      </c>
      <c r="I282">
        <f t="shared" si="8"/>
        <v>578020.14807287068</v>
      </c>
      <c r="J282">
        <f t="shared" si="9"/>
        <v>-53120.578072870732</v>
      </c>
    </row>
    <row r="283" spans="1:10" x14ac:dyDescent="0.3">
      <c r="A283" s="5" t="s">
        <v>96</v>
      </c>
      <c r="B283">
        <v>555557.77</v>
      </c>
      <c r="C283">
        <v>34771.26</v>
      </c>
      <c r="D283">
        <v>4355</v>
      </c>
      <c r="E283">
        <v>87.9</v>
      </c>
      <c r="F283">
        <v>0</v>
      </c>
      <c r="G283">
        <v>0</v>
      </c>
      <c r="H283">
        <v>0</v>
      </c>
      <c r="I283">
        <f t="shared" si="8"/>
        <v>589862.58232290379</v>
      </c>
      <c r="J283">
        <f t="shared" si="9"/>
        <v>-34304.812322903774</v>
      </c>
    </row>
    <row r="284" spans="1:10" x14ac:dyDescent="0.3">
      <c r="A284" s="5" t="s">
        <v>96</v>
      </c>
      <c r="B284">
        <v>714083.68</v>
      </c>
      <c r="C284">
        <v>66104.19</v>
      </c>
      <c r="D284">
        <v>5745</v>
      </c>
      <c r="E284">
        <v>95.8</v>
      </c>
      <c r="F284">
        <v>0</v>
      </c>
      <c r="G284">
        <v>0</v>
      </c>
      <c r="H284">
        <v>0</v>
      </c>
      <c r="I284">
        <f t="shared" si="8"/>
        <v>696364.46518250462</v>
      </c>
      <c r="J284">
        <f t="shared" si="9"/>
        <v>17719.214817495435</v>
      </c>
    </row>
    <row r="285" spans="1:10" x14ac:dyDescent="0.3">
      <c r="A285" s="5" t="s">
        <v>96</v>
      </c>
      <c r="B285">
        <v>497439.82</v>
      </c>
      <c r="C285">
        <v>18599.21</v>
      </c>
      <c r="D285">
        <v>3027</v>
      </c>
      <c r="E285">
        <v>80.900000000000006</v>
      </c>
      <c r="F285">
        <v>0</v>
      </c>
      <c r="G285">
        <v>0</v>
      </c>
      <c r="H285">
        <v>0</v>
      </c>
      <c r="I285">
        <f t="shared" si="8"/>
        <v>505976.55346799735</v>
      </c>
      <c r="J285">
        <f t="shared" si="9"/>
        <v>-8536.7334679973428</v>
      </c>
    </row>
    <row r="286" spans="1:10" x14ac:dyDescent="0.3">
      <c r="A286" s="5" t="s">
        <v>97</v>
      </c>
      <c r="B286">
        <v>636775.66</v>
      </c>
      <c r="C286">
        <v>60183.06</v>
      </c>
      <c r="D286">
        <v>5562</v>
      </c>
      <c r="E286">
        <v>86.3</v>
      </c>
      <c r="F286">
        <v>0</v>
      </c>
      <c r="G286">
        <v>0</v>
      </c>
      <c r="H286">
        <v>1</v>
      </c>
      <c r="I286">
        <f t="shared" si="8"/>
        <v>651922.14533869782</v>
      </c>
      <c r="J286">
        <f t="shared" si="9"/>
        <v>-15146.485338697792</v>
      </c>
    </row>
    <row r="287" spans="1:10" x14ac:dyDescent="0.3">
      <c r="A287" s="5" t="s">
        <v>97</v>
      </c>
      <c r="B287">
        <v>633009.53</v>
      </c>
      <c r="C287">
        <v>74539.14</v>
      </c>
      <c r="D287">
        <v>4487</v>
      </c>
      <c r="E287">
        <v>90.4</v>
      </c>
      <c r="F287">
        <v>0</v>
      </c>
      <c r="G287">
        <v>0</v>
      </c>
      <c r="H287">
        <v>1</v>
      </c>
      <c r="I287">
        <f t="shared" si="8"/>
        <v>644091.16891750833</v>
      </c>
      <c r="J287">
        <f t="shared" si="9"/>
        <v>-11081.638917508302</v>
      </c>
    </row>
    <row r="288" spans="1:10" x14ac:dyDescent="0.3">
      <c r="A288" s="5" t="s">
        <v>97</v>
      </c>
      <c r="B288">
        <v>609949</v>
      </c>
      <c r="C288">
        <v>55371.97</v>
      </c>
      <c r="D288">
        <v>4162</v>
      </c>
      <c r="E288">
        <v>92</v>
      </c>
      <c r="F288">
        <v>0</v>
      </c>
      <c r="G288">
        <v>0</v>
      </c>
      <c r="H288">
        <v>1</v>
      </c>
      <c r="I288">
        <f t="shared" si="8"/>
        <v>614861.7952752962</v>
      </c>
      <c r="J288">
        <f t="shared" si="9"/>
        <v>-4912.795275296201</v>
      </c>
    </row>
    <row r="289" spans="1:10" x14ac:dyDescent="0.3">
      <c r="A289" s="5" t="s">
        <v>97</v>
      </c>
      <c r="B289">
        <v>548103.69999999995</v>
      </c>
      <c r="C289">
        <v>40928.69</v>
      </c>
      <c r="D289">
        <v>4094</v>
      </c>
      <c r="E289">
        <v>82.4</v>
      </c>
      <c r="F289">
        <v>0</v>
      </c>
      <c r="G289">
        <v>0</v>
      </c>
      <c r="H289">
        <v>1</v>
      </c>
      <c r="I289">
        <f t="shared" si="8"/>
        <v>568375.33174830978</v>
      </c>
      <c r="J289">
        <f t="shared" si="9"/>
        <v>-20271.631748309825</v>
      </c>
    </row>
    <row r="290" spans="1:10" x14ac:dyDescent="0.3">
      <c r="A290" s="5" t="s">
        <v>98</v>
      </c>
      <c r="B290">
        <v>729424.42</v>
      </c>
      <c r="C290">
        <v>70012.41</v>
      </c>
      <c r="D290">
        <v>8484</v>
      </c>
      <c r="E290">
        <v>72.900000000000006</v>
      </c>
      <c r="F290">
        <v>1</v>
      </c>
      <c r="G290">
        <v>0</v>
      </c>
      <c r="H290">
        <v>0</v>
      </c>
      <c r="I290">
        <f t="shared" si="8"/>
        <v>707292.93750097335</v>
      </c>
      <c r="J290">
        <f t="shared" si="9"/>
        <v>22131.482499026693</v>
      </c>
    </row>
    <row r="291" spans="1:10" x14ac:dyDescent="0.3">
      <c r="A291" s="5" t="s">
        <v>98</v>
      </c>
      <c r="B291">
        <v>696261.49</v>
      </c>
      <c r="C291">
        <v>68909.259999999995</v>
      </c>
      <c r="D291">
        <v>7794</v>
      </c>
      <c r="E291">
        <v>89</v>
      </c>
      <c r="F291">
        <v>1</v>
      </c>
      <c r="G291">
        <v>0</v>
      </c>
      <c r="H291">
        <v>0</v>
      </c>
      <c r="I291">
        <f t="shared" si="8"/>
        <v>727987.23513216374</v>
      </c>
      <c r="J291">
        <f t="shared" si="9"/>
        <v>-31725.745132163749</v>
      </c>
    </row>
    <row r="292" spans="1:10" x14ac:dyDescent="0.3">
      <c r="A292" s="5" t="s">
        <v>98</v>
      </c>
      <c r="B292">
        <v>813316.71</v>
      </c>
      <c r="C292">
        <v>56737.3</v>
      </c>
      <c r="D292">
        <v>8300</v>
      </c>
      <c r="E292">
        <v>83.2</v>
      </c>
      <c r="F292">
        <v>1</v>
      </c>
      <c r="G292">
        <v>0</v>
      </c>
      <c r="H292">
        <v>0</v>
      </c>
      <c r="I292">
        <f t="shared" si="8"/>
        <v>714345.16937484895</v>
      </c>
      <c r="J292">
        <f t="shared" si="9"/>
        <v>98971.540625151014</v>
      </c>
    </row>
    <row r="293" spans="1:10" x14ac:dyDescent="0.3">
      <c r="A293" s="5" t="s">
        <v>98</v>
      </c>
      <c r="B293">
        <v>702068.92</v>
      </c>
      <c r="C293">
        <v>54080.91</v>
      </c>
      <c r="D293">
        <v>7083</v>
      </c>
      <c r="E293">
        <v>97</v>
      </c>
      <c r="F293">
        <v>1</v>
      </c>
      <c r="G293">
        <v>0</v>
      </c>
      <c r="H293">
        <v>0</v>
      </c>
      <c r="I293">
        <f t="shared" si="8"/>
        <v>708865.87039999827</v>
      </c>
      <c r="J293">
        <f t="shared" si="9"/>
        <v>-6796.9503999982262</v>
      </c>
    </row>
    <row r="294" spans="1:10" x14ac:dyDescent="0.3">
      <c r="A294" s="5" t="s">
        <v>99</v>
      </c>
      <c r="B294">
        <v>546223.69999999995</v>
      </c>
      <c r="C294">
        <v>51996.32</v>
      </c>
      <c r="D294">
        <v>3834</v>
      </c>
      <c r="E294">
        <v>86.7</v>
      </c>
      <c r="F294">
        <v>0</v>
      </c>
      <c r="G294">
        <v>0</v>
      </c>
      <c r="H294">
        <v>1</v>
      </c>
      <c r="I294">
        <f t="shared" si="8"/>
        <v>584812.57029782166</v>
      </c>
      <c r="J294">
        <f t="shared" si="9"/>
        <v>-38588.870297821704</v>
      </c>
    </row>
    <row r="295" spans="1:10" x14ac:dyDescent="0.3">
      <c r="A295" s="5" t="s">
        <v>99</v>
      </c>
      <c r="B295">
        <v>533121.26</v>
      </c>
      <c r="C295">
        <v>40102.879999999997</v>
      </c>
      <c r="D295">
        <v>2358</v>
      </c>
      <c r="E295">
        <v>88.7</v>
      </c>
      <c r="F295">
        <v>0</v>
      </c>
      <c r="G295">
        <v>0</v>
      </c>
      <c r="H295">
        <v>1</v>
      </c>
      <c r="I295">
        <f t="shared" si="8"/>
        <v>526351.64423423447</v>
      </c>
      <c r="J295">
        <f t="shared" si="9"/>
        <v>6769.6157657655422</v>
      </c>
    </row>
    <row r="296" spans="1:10" x14ac:dyDescent="0.3">
      <c r="A296" s="5" t="s">
        <v>99</v>
      </c>
      <c r="B296">
        <v>498970.32</v>
      </c>
      <c r="C296">
        <v>59825.51</v>
      </c>
      <c r="D296">
        <v>1231</v>
      </c>
      <c r="E296">
        <v>84.8</v>
      </c>
      <c r="F296">
        <v>0</v>
      </c>
      <c r="G296">
        <v>0</v>
      </c>
      <c r="H296">
        <v>1</v>
      </c>
      <c r="I296">
        <f t="shared" si="8"/>
        <v>500578.01917483628</v>
      </c>
      <c r="J296">
        <f t="shared" si="9"/>
        <v>-1607.699174836278</v>
      </c>
    </row>
    <row r="297" spans="1:10" x14ac:dyDescent="0.3">
      <c r="A297" s="5" t="s">
        <v>99</v>
      </c>
      <c r="B297">
        <v>487738.26</v>
      </c>
      <c r="C297">
        <v>27398.28</v>
      </c>
      <c r="D297">
        <v>1723</v>
      </c>
      <c r="E297">
        <v>81</v>
      </c>
      <c r="F297">
        <v>0</v>
      </c>
      <c r="G297">
        <v>0</v>
      </c>
      <c r="H297">
        <v>1</v>
      </c>
      <c r="I297">
        <f t="shared" si="8"/>
        <v>468077.17018463643</v>
      </c>
      <c r="J297">
        <f t="shared" si="9"/>
        <v>19661.089815363579</v>
      </c>
    </row>
    <row r="298" spans="1:10" x14ac:dyDescent="0.3">
      <c r="A298" s="5" t="s">
        <v>100</v>
      </c>
      <c r="B298">
        <v>668459.37</v>
      </c>
      <c r="C298">
        <v>55599.56</v>
      </c>
      <c r="D298">
        <v>5896</v>
      </c>
      <c r="E298">
        <v>93.1</v>
      </c>
      <c r="F298">
        <v>0</v>
      </c>
      <c r="G298">
        <v>0</v>
      </c>
      <c r="H298">
        <v>1</v>
      </c>
      <c r="I298">
        <f t="shared" si="8"/>
        <v>676963.03456156282</v>
      </c>
      <c r="J298">
        <f t="shared" si="9"/>
        <v>-8503.6645615628222</v>
      </c>
    </row>
    <row r="299" spans="1:10" x14ac:dyDescent="0.3">
      <c r="A299" s="5" t="s">
        <v>100</v>
      </c>
      <c r="B299">
        <v>763162.45</v>
      </c>
      <c r="C299">
        <v>55477.61</v>
      </c>
      <c r="D299">
        <v>5903</v>
      </c>
      <c r="E299">
        <v>96.2</v>
      </c>
      <c r="F299">
        <v>0</v>
      </c>
      <c r="G299">
        <v>0</v>
      </c>
      <c r="H299">
        <v>1</v>
      </c>
      <c r="I299">
        <f t="shared" si="8"/>
        <v>685791.9462937694</v>
      </c>
      <c r="J299">
        <f t="shared" si="9"/>
        <v>77370.503706230549</v>
      </c>
    </row>
    <row r="300" spans="1:10" x14ac:dyDescent="0.3">
      <c r="A300" s="5" t="s">
        <v>100</v>
      </c>
      <c r="B300">
        <v>599017.32999999996</v>
      </c>
      <c r="C300">
        <v>46174.7</v>
      </c>
      <c r="D300">
        <v>4898</v>
      </c>
      <c r="E300">
        <v>91.7</v>
      </c>
      <c r="F300">
        <v>0</v>
      </c>
      <c r="G300">
        <v>0</v>
      </c>
      <c r="H300">
        <v>1</v>
      </c>
      <c r="I300">
        <f t="shared" si="8"/>
        <v>628037.79048525111</v>
      </c>
      <c r="J300">
        <f t="shared" si="9"/>
        <v>-29020.460485251155</v>
      </c>
    </row>
    <row r="301" spans="1:10" x14ac:dyDescent="0.3">
      <c r="A301" s="5" t="s">
        <v>100</v>
      </c>
      <c r="B301">
        <v>401582.58</v>
      </c>
      <c r="C301">
        <v>24362.98</v>
      </c>
      <c r="D301">
        <v>1462</v>
      </c>
      <c r="E301">
        <v>89.3</v>
      </c>
      <c r="F301">
        <v>0</v>
      </c>
      <c r="G301">
        <v>0</v>
      </c>
      <c r="H301">
        <v>1</v>
      </c>
      <c r="I301">
        <f t="shared" si="8"/>
        <v>479028.50146796741</v>
      </c>
      <c r="J301">
        <f t="shared" si="9"/>
        <v>-77445.92146796739</v>
      </c>
    </row>
    <row r="302" spans="1:10" x14ac:dyDescent="0.3">
      <c r="A302" s="5" t="s">
        <v>101</v>
      </c>
      <c r="B302">
        <v>703812.99</v>
      </c>
      <c r="C302">
        <v>40647.67</v>
      </c>
      <c r="D302">
        <v>8252</v>
      </c>
      <c r="E302">
        <v>88.2</v>
      </c>
      <c r="F302">
        <v>0</v>
      </c>
      <c r="G302">
        <v>1</v>
      </c>
      <c r="H302">
        <v>0</v>
      </c>
      <c r="I302">
        <f t="shared" si="8"/>
        <v>718276.88313893718</v>
      </c>
      <c r="J302">
        <f t="shared" si="9"/>
        <v>-14463.893138937186</v>
      </c>
    </row>
    <row r="303" spans="1:10" x14ac:dyDescent="0.3">
      <c r="A303" s="5" t="s">
        <v>101</v>
      </c>
      <c r="B303">
        <v>724346.73</v>
      </c>
      <c r="C303">
        <v>63986.98</v>
      </c>
      <c r="D303">
        <v>7989</v>
      </c>
      <c r="E303">
        <v>83.3</v>
      </c>
      <c r="F303">
        <v>0</v>
      </c>
      <c r="G303">
        <v>1</v>
      </c>
      <c r="H303">
        <v>0</v>
      </c>
      <c r="I303">
        <f t="shared" si="8"/>
        <v>723238.16677014751</v>
      </c>
      <c r="J303">
        <f t="shared" si="9"/>
        <v>1108.5632298524724</v>
      </c>
    </row>
    <row r="304" spans="1:10" x14ac:dyDescent="0.3">
      <c r="A304" s="5" t="s">
        <v>101</v>
      </c>
      <c r="B304">
        <v>730890.01</v>
      </c>
      <c r="C304">
        <v>52843.75</v>
      </c>
      <c r="D304">
        <v>8268</v>
      </c>
      <c r="E304">
        <v>87.3</v>
      </c>
      <c r="F304">
        <v>0</v>
      </c>
      <c r="G304">
        <v>1</v>
      </c>
      <c r="H304">
        <v>0</v>
      </c>
      <c r="I304">
        <f t="shared" si="8"/>
        <v>730745.92737292754</v>
      </c>
      <c r="J304">
        <f t="shared" si="9"/>
        <v>144.08262707246467</v>
      </c>
    </row>
    <row r="305" spans="1:10" x14ac:dyDescent="0.3">
      <c r="A305" s="5" t="s">
        <v>101</v>
      </c>
      <c r="B305">
        <v>780580.95</v>
      </c>
      <c r="C305">
        <v>31997.25</v>
      </c>
      <c r="D305">
        <v>8183</v>
      </c>
      <c r="E305">
        <v>93</v>
      </c>
      <c r="F305">
        <v>0</v>
      </c>
      <c r="G305">
        <v>1</v>
      </c>
      <c r="H305">
        <v>0</v>
      </c>
      <c r="I305">
        <f t="shared" si="8"/>
        <v>719208.56133588252</v>
      </c>
      <c r="J305">
        <f t="shared" si="9"/>
        <v>61372.388664117432</v>
      </c>
    </row>
    <row r="306" spans="1:10" x14ac:dyDescent="0.3">
      <c r="A306" s="5" t="s">
        <v>102</v>
      </c>
      <c r="B306">
        <v>727957.48</v>
      </c>
      <c r="C306">
        <v>54948.02</v>
      </c>
      <c r="D306">
        <v>6534</v>
      </c>
      <c r="E306">
        <v>94.5</v>
      </c>
      <c r="F306">
        <v>0</v>
      </c>
      <c r="G306">
        <v>0</v>
      </c>
      <c r="H306">
        <v>0</v>
      </c>
      <c r="I306">
        <f t="shared" si="8"/>
        <v>706194.29872554261</v>
      </c>
      <c r="J306">
        <f t="shared" si="9"/>
        <v>21763.181274457369</v>
      </c>
    </row>
    <row r="307" spans="1:10" x14ac:dyDescent="0.3">
      <c r="A307" s="5" t="s">
        <v>102</v>
      </c>
      <c r="B307">
        <v>538376</v>
      </c>
      <c r="C307">
        <v>46146.239999999998</v>
      </c>
      <c r="D307">
        <v>5804</v>
      </c>
      <c r="E307">
        <v>86.9</v>
      </c>
      <c r="F307">
        <v>0</v>
      </c>
      <c r="G307">
        <v>0</v>
      </c>
      <c r="H307">
        <v>0</v>
      </c>
      <c r="I307">
        <f t="shared" si="8"/>
        <v>649612.36476459121</v>
      </c>
      <c r="J307">
        <f t="shared" si="9"/>
        <v>-111236.36476459121</v>
      </c>
    </row>
    <row r="308" spans="1:10" x14ac:dyDescent="0.3">
      <c r="A308" s="5" t="s">
        <v>102</v>
      </c>
      <c r="B308">
        <v>665342.49</v>
      </c>
      <c r="C308">
        <v>22387.26</v>
      </c>
      <c r="D308">
        <v>6301</v>
      </c>
      <c r="E308">
        <v>85.9</v>
      </c>
      <c r="F308">
        <v>0</v>
      </c>
      <c r="G308">
        <v>0</v>
      </c>
      <c r="H308">
        <v>0</v>
      </c>
      <c r="I308">
        <f t="shared" si="8"/>
        <v>635451.6470168638</v>
      </c>
      <c r="J308">
        <f t="shared" si="9"/>
        <v>29890.842983136186</v>
      </c>
    </row>
    <row r="309" spans="1:10" x14ac:dyDescent="0.3">
      <c r="A309" s="5" t="s">
        <v>102</v>
      </c>
      <c r="B309">
        <v>651164.18000000005</v>
      </c>
      <c r="C309">
        <v>60684.05</v>
      </c>
      <c r="D309">
        <v>6399</v>
      </c>
      <c r="E309">
        <v>99</v>
      </c>
      <c r="F309">
        <v>0</v>
      </c>
      <c r="G309">
        <v>0</v>
      </c>
      <c r="H309">
        <v>0</v>
      </c>
      <c r="I309">
        <f t="shared" si="8"/>
        <v>721106.1614528466</v>
      </c>
      <c r="J309">
        <f t="shared" si="9"/>
        <v>-69941.98145284655</v>
      </c>
    </row>
    <row r="310" spans="1:10" x14ac:dyDescent="0.3">
      <c r="A310" s="5" t="s">
        <v>103</v>
      </c>
      <c r="B310">
        <v>628538.30000000005</v>
      </c>
      <c r="C310">
        <v>48465.599999999999</v>
      </c>
      <c r="D310">
        <v>5759</v>
      </c>
      <c r="E310">
        <v>87.5</v>
      </c>
      <c r="F310">
        <v>0</v>
      </c>
      <c r="G310">
        <v>0</v>
      </c>
      <c r="H310">
        <v>0</v>
      </c>
      <c r="I310">
        <f t="shared" si="8"/>
        <v>652529.68169344799</v>
      </c>
      <c r="J310">
        <f t="shared" si="9"/>
        <v>-23991.38169344794</v>
      </c>
    </row>
    <row r="311" spans="1:10" x14ac:dyDescent="0.3">
      <c r="A311" s="5" t="s">
        <v>103</v>
      </c>
      <c r="B311">
        <v>536524.84</v>
      </c>
      <c r="C311">
        <v>23702.38</v>
      </c>
      <c r="D311">
        <v>5285</v>
      </c>
      <c r="E311">
        <v>79.7</v>
      </c>
      <c r="F311">
        <v>0</v>
      </c>
      <c r="G311">
        <v>0</v>
      </c>
      <c r="H311">
        <v>0</v>
      </c>
      <c r="I311">
        <f t="shared" si="8"/>
        <v>585126.03686522949</v>
      </c>
      <c r="J311">
        <f t="shared" si="9"/>
        <v>-48601.196865229518</v>
      </c>
    </row>
    <row r="312" spans="1:10" x14ac:dyDescent="0.3">
      <c r="A312" s="5" t="s">
        <v>103</v>
      </c>
      <c r="B312">
        <v>621677.30000000005</v>
      </c>
      <c r="C312">
        <v>54322.94</v>
      </c>
      <c r="D312">
        <v>5434</v>
      </c>
      <c r="E312">
        <v>85.7</v>
      </c>
      <c r="F312">
        <v>0</v>
      </c>
      <c r="G312">
        <v>0</v>
      </c>
      <c r="H312">
        <v>0</v>
      </c>
      <c r="I312">
        <f t="shared" si="8"/>
        <v>643395.3250079623</v>
      </c>
      <c r="J312">
        <f t="shared" si="9"/>
        <v>-21718.025007962249</v>
      </c>
    </row>
    <row r="313" spans="1:10" x14ac:dyDescent="0.3">
      <c r="A313" s="5" t="s">
        <v>103</v>
      </c>
      <c r="B313">
        <v>771129.07</v>
      </c>
      <c r="C313">
        <v>86026.58</v>
      </c>
      <c r="D313">
        <v>7479</v>
      </c>
      <c r="E313">
        <v>89</v>
      </c>
      <c r="F313">
        <v>0</v>
      </c>
      <c r="G313">
        <v>0</v>
      </c>
      <c r="H313">
        <v>0</v>
      </c>
      <c r="I313">
        <f t="shared" si="8"/>
        <v>759558.21252219542</v>
      </c>
      <c r="J313">
        <f t="shared" si="9"/>
        <v>11570.857477804529</v>
      </c>
    </row>
    <row r="314" spans="1:10" x14ac:dyDescent="0.3">
      <c r="A314" s="5" t="s">
        <v>104</v>
      </c>
      <c r="B314">
        <v>702052.47</v>
      </c>
      <c r="C314">
        <v>78967.520000000004</v>
      </c>
      <c r="D314">
        <v>6164</v>
      </c>
      <c r="E314">
        <v>85.5</v>
      </c>
      <c r="F314">
        <v>0</v>
      </c>
      <c r="G314">
        <v>1</v>
      </c>
      <c r="H314">
        <v>0</v>
      </c>
      <c r="I314">
        <f t="shared" si="8"/>
        <v>685390.33782147767</v>
      </c>
      <c r="J314">
        <f t="shared" si="9"/>
        <v>16662.132178522297</v>
      </c>
    </row>
    <row r="315" spans="1:10" x14ac:dyDescent="0.3">
      <c r="A315" s="5" t="s">
        <v>104</v>
      </c>
      <c r="B315">
        <v>688368.46</v>
      </c>
      <c r="C315">
        <v>46767.99</v>
      </c>
      <c r="D315">
        <v>7973</v>
      </c>
      <c r="E315">
        <v>94.8</v>
      </c>
      <c r="F315">
        <v>0</v>
      </c>
      <c r="G315">
        <v>1</v>
      </c>
      <c r="H315">
        <v>0</v>
      </c>
      <c r="I315">
        <f t="shared" si="8"/>
        <v>734685.37445083878</v>
      </c>
      <c r="J315">
        <f t="shared" si="9"/>
        <v>-46316.914450838813</v>
      </c>
    </row>
    <row r="316" spans="1:10" x14ac:dyDescent="0.3">
      <c r="A316" s="5" t="s">
        <v>104</v>
      </c>
      <c r="B316">
        <v>712375.77</v>
      </c>
      <c r="C316">
        <v>62507.16</v>
      </c>
      <c r="D316">
        <v>6000</v>
      </c>
      <c r="E316">
        <v>98.2</v>
      </c>
      <c r="F316">
        <v>0</v>
      </c>
      <c r="G316">
        <v>1</v>
      </c>
      <c r="H316">
        <v>0</v>
      </c>
      <c r="I316">
        <f t="shared" si="8"/>
        <v>696106.24139797094</v>
      </c>
      <c r="J316">
        <f t="shared" si="9"/>
        <v>16269.528602029081</v>
      </c>
    </row>
    <row r="317" spans="1:10" x14ac:dyDescent="0.3">
      <c r="A317" s="5" t="s">
        <v>104</v>
      </c>
      <c r="B317">
        <v>844710.67</v>
      </c>
      <c r="C317">
        <v>66456.28</v>
      </c>
      <c r="D317">
        <v>9967</v>
      </c>
      <c r="E317">
        <v>94.7</v>
      </c>
      <c r="F317">
        <v>0</v>
      </c>
      <c r="G317">
        <v>1</v>
      </c>
      <c r="H317">
        <v>0</v>
      </c>
      <c r="I317">
        <f t="shared" si="8"/>
        <v>825289.79411479656</v>
      </c>
      <c r="J317">
        <f t="shared" si="9"/>
        <v>19420.875885203481</v>
      </c>
    </row>
    <row r="318" spans="1:10" x14ac:dyDescent="0.3">
      <c r="A318" s="5" t="s">
        <v>105</v>
      </c>
      <c r="B318">
        <v>620264.19999999995</v>
      </c>
      <c r="C318">
        <v>76614.320000000007</v>
      </c>
      <c r="D318">
        <v>5639</v>
      </c>
      <c r="E318">
        <v>92.9</v>
      </c>
      <c r="F318">
        <v>1</v>
      </c>
      <c r="G318">
        <v>0</v>
      </c>
      <c r="H318">
        <v>0</v>
      </c>
      <c r="I318">
        <f t="shared" si="8"/>
        <v>675125.02431586164</v>
      </c>
      <c r="J318">
        <f t="shared" si="9"/>
        <v>-54860.824315861682</v>
      </c>
    </row>
    <row r="319" spans="1:10" x14ac:dyDescent="0.3">
      <c r="A319" s="5" t="s">
        <v>105</v>
      </c>
      <c r="B319">
        <v>536845.42000000004</v>
      </c>
      <c r="C319">
        <v>24088.06</v>
      </c>
      <c r="D319">
        <v>3466</v>
      </c>
      <c r="E319">
        <v>88</v>
      </c>
      <c r="F319">
        <v>1</v>
      </c>
      <c r="G319">
        <v>0</v>
      </c>
      <c r="H319">
        <v>0</v>
      </c>
      <c r="I319">
        <f t="shared" si="8"/>
        <v>525423.75281376776</v>
      </c>
      <c r="J319">
        <f t="shared" si="9"/>
        <v>11421.667186232284</v>
      </c>
    </row>
    <row r="320" spans="1:10" x14ac:dyDescent="0.3">
      <c r="A320" s="5" t="s">
        <v>105</v>
      </c>
      <c r="B320">
        <v>726776.22</v>
      </c>
      <c r="C320">
        <v>81902.58</v>
      </c>
      <c r="D320">
        <v>7775</v>
      </c>
      <c r="E320">
        <v>85.2</v>
      </c>
      <c r="F320">
        <v>1</v>
      </c>
      <c r="G320">
        <v>0</v>
      </c>
      <c r="H320">
        <v>0</v>
      </c>
      <c r="I320">
        <f t="shared" si="8"/>
        <v>732043.47316075535</v>
      </c>
      <c r="J320">
        <f t="shared" si="9"/>
        <v>-5267.2531607553829</v>
      </c>
    </row>
    <row r="321" spans="1:10" x14ac:dyDescent="0.3">
      <c r="A321" s="5" t="s">
        <v>105</v>
      </c>
      <c r="B321">
        <v>559660.84</v>
      </c>
      <c r="C321">
        <v>40553.11</v>
      </c>
      <c r="D321">
        <v>5317</v>
      </c>
      <c r="E321">
        <v>84.3</v>
      </c>
      <c r="F321">
        <v>1</v>
      </c>
      <c r="G321">
        <v>0</v>
      </c>
      <c r="H321">
        <v>0</v>
      </c>
      <c r="I321">
        <f t="shared" si="8"/>
        <v>597216.67204140429</v>
      </c>
      <c r="J321">
        <f t="shared" si="9"/>
        <v>-37555.832041404326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4.4" x14ac:dyDescent="0.3"/>
  <cols>
    <col min="1" max="1" width="21.77734375" bestFit="1" customWidth="1"/>
    <col min="2" max="2" width="29.33203125" bestFit="1" customWidth="1"/>
    <col min="3" max="3" width="35.21875" bestFit="1" customWidth="1"/>
    <col min="4" max="4" width="9" bestFit="1" customWidth="1"/>
    <col min="5" max="5" width="29.77734375" bestFit="1" customWidth="1"/>
    <col min="6" max="6" width="36" bestFit="1" customWidth="1"/>
    <col min="7" max="7" width="35.6640625" bestFit="1" customWidth="1"/>
  </cols>
  <sheetData>
    <row r="1" spans="1:7" ht="26.4" x14ac:dyDescent="0.45">
      <c r="A1" s="12" t="s">
        <v>134</v>
      </c>
      <c r="B1" s="12" t="s">
        <v>135</v>
      </c>
      <c r="C1" s="12" t="s">
        <v>136</v>
      </c>
      <c r="D1" s="12" t="s">
        <v>149</v>
      </c>
      <c r="E1" s="12" t="s">
        <v>137</v>
      </c>
      <c r="F1" s="12" t="s">
        <v>138</v>
      </c>
      <c r="G1" s="12" t="s">
        <v>139</v>
      </c>
    </row>
    <row r="2" spans="1:7" ht="36" x14ac:dyDescent="0.35">
      <c r="A2" s="11" t="s">
        <v>140</v>
      </c>
      <c r="B2" s="11" t="s">
        <v>12</v>
      </c>
      <c r="C2" s="11" t="s">
        <v>4</v>
      </c>
      <c r="D2" s="11">
        <v>0.16719999999999999</v>
      </c>
      <c r="E2" s="11" t="s">
        <v>4</v>
      </c>
      <c r="F2" s="13" t="s">
        <v>143</v>
      </c>
      <c r="G2" s="11" t="s">
        <v>146</v>
      </c>
    </row>
    <row r="3" spans="1:7" ht="18" x14ac:dyDescent="0.35">
      <c r="A3" s="11" t="s">
        <v>141</v>
      </c>
      <c r="B3" s="11" t="s">
        <v>12</v>
      </c>
      <c r="C3" s="11" t="s">
        <v>5</v>
      </c>
      <c r="D3" s="11">
        <v>0.73629999999999995</v>
      </c>
      <c r="E3" s="11" t="s">
        <v>5</v>
      </c>
      <c r="F3" s="11" t="s">
        <v>144</v>
      </c>
      <c r="G3" s="11" t="s">
        <v>147</v>
      </c>
    </row>
    <row r="4" spans="1:7" ht="108" x14ac:dyDescent="0.35">
      <c r="A4" s="11" t="s">
        <v>142</v>
      </c>
      <c r="B4" s="11" t="s">
        <v>12</v>
      </c>
      <c r="C4" s="13" t="s">
        <v>150</v>
      </c>
      <c r="D4" s="11">
        <v>0.81140000000000001</v>
      </c>
      <c r="E4" s="13" t="s">
        <v>151</v>
      </c>
      <c r="F4" s="11" t="s">
        <v>145</v>
      </c>
      <c r="G4" s="13" t="s">
        <v>148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</vt:lpstr>
      <vt:lpstr>Multiple_Regression</vt:lpstr>
      <vt:lpstr>Prediction_Residuals</vt:lpstr>
      <vt:lpstr>Model_Comparison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2026-06-22T11:23:13Z</dcterms:created>
  <dcterms:modified xsi:type="dcterms:W3CDTF">2026-06-27T07:18:30Z</dcterms:modified>
</cp:coreProperties>
</file>